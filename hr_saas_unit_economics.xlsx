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Scenarios" sheetId="3" state="visible" r:id="rId3"/>
    <sheet name="Funnel" sheetId="4" state="visible" r:id="rId4"/>
    <sheet name="Unit Economics" sheetId="5" state="visible" r:id="rId5"/>
    <sheet name="Sensitivity" sheetId="6" state="visible" r:id="rId6"/>
  </sheets>
  <definedNames>
    <definedName name="Scenario_idx">Scenarios!$C$4</definedName>
    <definedName name="list_pepm_1">Inputs!$C$6</definedName>
    <definedName name="list_pepm_2">Inputs!$C$7</definedName>
    <definedName name="list_pepm_3">Inputs!$C$8</definedName>
    <definedName name="discount">Inputs!$C$9</definedName>
    <definedName name="hc_1">Inputs!$C$10</definedName>
    <definedName name="hc_2">Inputs!$C$11</definedName>
    <definedName name="hc_3">Inputs!$C$12</definedName>
    <definedName name="mix_1">Inputs!$C$13</definedName>
    <definedName name="mix_2">Inputs!$C$14</definedName>
    <definedName name="mix_3">Inputs!$C$15</definedName>
    <definedName name="mix_check">Inputs!$C$16</definedName>
    <definedName name="visitors_m1">Inputs!$C$18</definedName>
    <definedName name="visitor_growth">Inputs!$C$19</definedName>
    <definedName name="v2s">Inputs!$C$20</definedName>
    <definedName name="s2d">Inputs!$C$21</definedName>
    <definedName name="show_rate">Inputs!$C$22</definedName>
    <definedName name="held2trial">Inputs!$C$23</definedName>
    <definedName name="trial2paid">Inputs!$C$24</definedName>
    <definedName name="cpv">Inputs!$C$26</definedName>
    <definedName name="cost_per_demo">Inputs!$C$27</definedName>
    <definedName name="gm">Inputs!$C$28</definedName>
    <definedName name="churn">Inputs!$C$30</definedName>
    <definedName name="expansion">Inputs!$C$31</definedName>
    <definedName name="horizon">Inputs!$C$33</definedName>
    <definedName name="lever_step">Inputs!$C$34</definedName>
    <definedName name="ARPA_1">'Unit Economics'!$F$5</definedName>
    <definedName name="ARPA_2">'Unit Economics'!$F$6</definedName>
    <definedName name="ARPA_3">'Unit Economics'!$F$7</definedName>
    <definedName name="ARPA">'Unit Economics'!$B$11</definedName>
    <definedName name="GP_acct">'Unit Economics'!$B$12</definedName>
    <definedName name="conv_v2p">'Unit Economics'!$B$13</definedName>
    <definedName name="held2paid">'Unit Economics'!$B$14</definedName>
    <definedName name="cost_per_visitor">'Unit Economics'!$B$15</definedName>
    <definedName name="CAC">'Unit Economics'!$B$16</definedName>
    <definedName name="CAC_check">'Unit Economics'!$B$17</definedName>
    <definedName name="r_month">'Unit Economics'!$B$18</definedName>
    <definedName name="Lifetime_months">'Unit Economics'!$B$19</definedName>
    <definedName name="LTV">'Unit Economics'!$B$20</definedName>
    <definedName name="LTV_CAC">'Unit Economics'!$B$21</definedName>
    <definedName name="LTV_simple">'Unit Economics'!$B$22</definedName>
    <definedName name="LTV_CAC_simple">'Unit Economics'!$B$23</definedName>
    <definedName name="Payback">'Unit Economics'!$B$24</definedName>
    <definedName name="NRR12">'Unit Economics'!$B$25</definedName>
    <definedName name="GRR12">'Unit Economics'!$B$26</definedName>
    <definedName name="MRR24">'Unit Economics'!$B$27</definedName>
    <definedName name="Cust24">'Unit Economics'!$B$28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&quot;₹&quot;#,##0"/>
    <numFmt numFmtId="166" formatCode="0.0"/>
    <numFmt numFmtId="167" formatCode="0.000%"/>
    <numFmt numFmtId="168" formatCode="&quot;₹&quot;#,##0.00"/>
    <numFmt numFmtId="169" formatCode="0.0000"/>
    <numFmt numFmtId="170" formatCode="#,##0.0"/>
    <numFmt numFmtId="171" formatCode="+0.0%;-0.0%;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b val="1"/>
      <color rgb="000000FF"/>
    </font>
    <font>
      <i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0" fontId="0" fillId="4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1" fontId="3" fillId="0" borderId="0" pivotButton="0" quotePrefix="0" xfId="0"/>
    <xf numFmtId="9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4" fillId="2" borderId="0" pivotButton="0" quotePrefix="0" xfId="0"/>
    <xf numFmtId="1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65" fontId="0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dxfs count="1"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MRR by segment (₹)</a:t>
            </a:r>
          </a:p>
        </rich>
      </tx>
    </title>
    <plotArea>
      <areaChart>
        <grouping val="stacked"/>
        <ser>
          <idx val="0"/>
          <order val="0"/>
          <tx>
            <strRef>
              <f>'Funnel'!P3</f>
            </strRef>
          </tx>
          <spPr>
            <a:ln>
              <a:prstDash val="solid"/>
            </a:ln>
          </spPr>
          <cat>
            <numRef>
              <f>'Funnel'!$A$4:$A$27</f>
            </numRef>
          </cat>
          <val>
            <numRef>
              <f>'Funnel'!$P$4:$P$27</f>
            </numRef>
          </val>
        </ser>
        <ser>
          <idx val="1"/>
          <order val="1"/>
          <tx>
            <strRef>
              <f>'Funnel'!Q3</f>
            </strRef>
          </tx>
          <spPr>
            <a:ln>
              <a:prstDash val="solid"/>
            </a:ln>
          </spPr>
          <cat>
            <numRef>
              <f>'Funnel'!$A$4:$A$27</f>
            </numRef>
          </cat>
          <val>
            <numRef>
              <f>'Funnel'!$Q$4:$Q$27</f>
            </numRef>
          </val>
        </ser>
        <ser>
          <idx val="2"/>
          <order val="2"/>
          <tx>
            <strRef>
              <f>'Funnel'!R3</f>
            </strRef>
          </tx>
          <spPr>
            <a:ln>
              <a:prstDash val="solid"/>
            </a:ln>
          </spPr>
          <cat>
            <numRef>
              <f>'Funnel'!$A$4:$A$27</f>
            </numRef>
          </cat>
          <val>
            <numRef>
              <f>'Funnel'!$R$4:$R$27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MRR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24-month funnel totals (log scale)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'Funnel'!$B$3:$G$3</f>
            </numRef>
          </cat>
          <val>
            <numRef>
              <f>'Funnel'!$B$28:$G$28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30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HR SaaS unit economics and funnel model</t>
        </is>
      </c>
    </row>
    <row r="2">
      <c r="A2" t="inlineStr">
        <is>
          <t>Question: for an Indian SMB payroll/HR SaaS priced per employee per month, which lever moves LTV:CAC most?</t>
        </is>
      </c>
    </row>
    <row r="3">
      <c r="A3" t="inlineStr">
        <is>
          <t>Independent portfolio project. Not affiliated with any company named. All figures are assumptions or public benchmarks, not company data.</t>
        </is>
      </c>
    </row>
    <row r="4">
      <c r="A4" t="inlineStr"/>
    </row>
    <row r="5">
      <c r="A5" s="2" t="inlineStr">
        <is>
          <t>How to use</t>
        </is>
      </c>
    </row>
    <row r="6">
      <c r="A6" t="inlineStr">
        <is>
          <t>1. Pick Bear, Base or Bull in Scenarios!C3. Every sheet updates.</t>
        </is>
      </c>
    </row>
    <row r="7">
      <c r="A7" t="inlineStr">
        <is>
          <t>2. Change any blue number in Inputs (or the scenario table) to test your own assumptions.</t>
        </is>
      </c>
    </row>
    <row r="8">
      <c r="A8" t="inlineStr">
        <is>
          <t>3. Read results in Unit Economics. Sensitivity shows which lever matters most.</t>
        </is>
      </c>
    </row>
    <row r="9">
      <c r="A9" t="inlineStr">
        <is>
          <t>4. Customer counts are expected values, so fractions are normal.</t>
        </is>
      </c>
    </row>
    <row r="10">
      <c r="A10" t="inlineStr"/>
    </row>
    <row r="11">
      <c r="A11" s="2" t="inlineStr">
        <is>
          <t>Colour legend</t>
        </is>
      </c>
    </row>
    <row r="12">
      <c r="A12" s="3" t="inlineStr">
        <is>
          <t>Blue font = input you can change</t>
        </is>
      </c>
    </row>
    <row r="13">
      <c r="A13" t="inlineStr">
        <is>
          <t>Black font = formula; do not overwrite</t>
        </is>
      </c>
    </row>
    <row r="14">
      <c r="A14" t="inlineStr"/>
    </row>
    <row r="15">
      <c r="A15" s="2" t="inlineStr">
        <is>
          <t>Sheets</t>
        </is>
      </c>
    </row>
    <row r="16">
      <c r="A16" t="inlineStr">
        <is>
          <t>Inputs: every assumption with unit, value and source or rationale.</t>
        </is>
      </c>
    </row>
    <row r="17">
      <c r="A17" t="inlineStr">
        <is>
          <t>Scenarios: bear/base/bull values and the selector.</t>
        </is>
      </c>
    </row>
    <row r="18">
      <c r="A18" t="inlineStr">
        <is>
          <t>Funnel: 24-month monthly funnel, customers by segment, MRR, S&amp;M spend.</t>
        </is>
      </c>
    </row>
    <row r="19">
      <c r="A19" t="inlineStr">
        <is>
          <t>Unit Economics: ARPA, CAC, LTV, LTV:CAC, payback, retention.</t>
        </is>
      </c>
    </row>
    <row r="20">
      <c r="A20" t="inlineStr">
        <is>
          <t>Sensitivity: LTV:CAC grid (churn vs demo-to-paid) and one-lever-at-a-time ranking.</t>
        </is>
      </c>
    </row>
    <row r="21">
      <c r="A21" t="inlineStr"/>
    </row>
    <row r="22">
      <c r="A22" s="2" t="inlineStr">
        <is>
          <t>Key definitions</t>
        </is>
      </c>
    </row>
    <row r="23">
      <c r="A23" t="inlineStr">
        <is>
          <t>CAC = S&amp;M cost per visitor / visitor-to-paid conversion. Marketing cost scales with visitors; sales cost with demos held.</t>
        </is>
      </c>
    </row>
    <row r="24">
      <c r="A24" t="inlineStr">
        <is>
          <t>LTV = gross profit per account x expected paying months, with monthly churn and seat expansion, capped at the horizon in Inputs.</t>
        </is>
      </c>
    </row>
    <row r="25">
      <c r="A25" t="inlineStr">
        <is>
          <t>CAC payback = CAC / monthly gross profit per new account (ignores churn and expansion).</t>
        </is>
      </c>
    </row>
    <row r="26">
      <c r="A26" t="inlineStr">
        <is>
          <t>12-month NRR = revenue from a cohort after 12 months / starting revenue (includes churned accounts and expansion).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100" customWidth="1" min="4" max="4"/>
  </cols>
  <sheetData>
    <row r="1">
      <c r="A1" s="1" t="inlineStr">
        <is>
          <t>Inputs</t>
        </is>
      </c>
    </row>
    <row r="2">
      <c r="A2" t="inlineStr">
        <is>
          <t>Blue = hard input. Black = pulled from the active scenario (edit those on Scenarios). Sources in README.md.</t>
        </is>
      </c>
    </row>
    <row r="4">
      <c r="A4" s="4" t="inlineStr">
        <is>
          <t>Parameter</t>
        </is>
      </c>
      <c r="B4" s="4" t="inlineStr">
        <is>
          <t>Unit</t>
        </is>
      </c>
      <c r="C4" s="4" t="inlineStr">
        <is>
          <t>Value</t>
        </is>
      </c>
      <c r="D4" s="4" t="inlineStr">
        <is>
          <t>Source / rationale</t>
        </is>
      </c>
    </row>
    <row r="5">
      <c r="A5" s="5" t="inlineStr">
        <is>
          <t>Pricing and segments</t>
        </is>
      </c>
      <c r="B5" s="6" t="n"/>
      <c r="C5" s="6" t="n"/>
      <c r="D5" s="6" t="n"/>
    </row>
    <row r="6">
      <c r="A6" t="inlineStr">
        <is>
          <t>List price, 10-25 employees</t>
        </is>
      </c>
      <c r="B6" t="inlineStr">
        <is>
          <t>₹/employee/month</t>
        </is>
      </c>
      <c r="C6" s="7" t="n">
        <v>120</v>
      </c>
      <c r="D6" s="8" t="inlineStr">
        <is>
          <t>Assumption within the public India range (per employee per month): Asanify ₹99-199; Keka ₹90-150 per extra employee (third-party report); RazorpayX ₹150 per extra employee; greytHR ₹45-85 and Zoho ₹40-100 per extra employee.</t>
        </is>
      </c>
    </row>
    <row r="7">
      <c r="A7" t="inlineStr">
        <is>
          <t>List price, 26-100 employees</t>
        </is>
      </c>
      <c r="B7" t="inlineStr">
        <is>
          <t>₹/employee/month</t>
        </is>
      </c>
      <c r="C7" s="7" t="n">
        <v>100</v>
      </c>
      <c r="D7" s="8" t="inlineStr">
        <is>
          <t>Assumption: lower rate for larger accounts, mirroring tiered pricing where extra employees cost less than the base block (greytHR, Keka, Zoho).</t>
        </is>
      </c>
    </row>
    <row r="8">
      <c r="A8" t="inlineStr">
        <is>
          <t>List price, 101-500 employees</t>
        </is>
      </c>
      <c r="B8" t="inlineStr">
        <is>
          <t>₹/employee/month</t>
        </is>
      </c>
      <c r="C8" s="7" t="n">
        <v>80</v>
      </c>
      <c r="D8" s="8" t="inlineStr">
        <is>
          <t>Assumption: as above.</t>
        </is>
      </c>
    </row>
    <row r="9">
      <c r="A9" t="inlineStr">
        <is>
          <t>Discount off list price</t>
        </is>
      </c>
      <c r="B9" t="inlineStr">
        <is>
          <t>% of list</t>
        </is>
      </c>
      <c r="C9" s="9">
        <f>INDEX(Scenarios!$C$10:$E$10,1,Scenario_idx)</f>
        <v/>
      </c>
      <c r="D9" s="8" t="inlineStr">
        <is>
          <t>From Scenarios.</t>
        </is>
      </c>
    </row>
    <row r="10">
      <c r="A10" t="inlineStr">
        <is>
          <t>Average headcount, 10-25 segment</t>
        </is>
      </c>
      <c r="B10" t="inlineStr">
        <is>
          <t>employees</t>
        </is>
      </c>
      <c r="C10" s="10" t="n">
        <v>17</v>
      </c>
      <c r="D10" s="8" t="inlineStr">
        <is>
          <t>Assumption: below the midpoint because firm sizes skew small.</t>
        </is>
      </c>
    </row>
    <row r="11">
      <c r="A11" t="inlineStr">
        <is>
          <t>Average headcount, 26-100 segment</t>
        </is>
      </c>
      <c r="B11" t="inlineStr">
        <is>
          <t>employees</t>
        </is>
      </c>
      <c r="C11" s="10" t="n">
        <v>55</v>
      </c>
      <c r="D11" s="8" t="inlineStr">
        <is>
          <t>Assumption: as above.</t>
        </is>
      </c>
    </row>
    <row r="12">
      <c r="A12" t="inlineStr">
        <is>
          <t>Average headcount, 101-500 segment</t>
        </is>
      </c>
      <c r="B12" t="inlineStr">
        <is>
          <t>employees</t>
        </is>
      </c>
      <c r="C12" s="10" t="n">
        <v>220</v>
      </c>
      <c r="D12" s="8" t="inlineStr">
        <is>
          <t>Assumption: as above.</t>
        </is>
      </c>
    </row>
    <row r="13">
      <c r="A13" t="inlineStr">
        <is>
          <t>New-customer mix, 10-25</t>
        </is>
      </c>
      <c r="B13" t="inlineStr">
        <is>
          <t>% of new customers</t>
        </is>
      </c>
      <c r="C13" s="11" t="n">
        <v>0.55</v>
      </c>
      <c r="D13" s="8" t="inlineStr">
        <is>
          <t>Assumption. No verified public data on segment mix. Mix must total 100%.</t>
        </is>
      </c>
    </row>
    <row r="14">
      <c r="A14" t="inlineStr">
        <is>
          <t>New-customer mix, 26-100</t>
        </is>
      </c>
      <c r="B14" t="inlineStr">
        <is>
          <t>% of new customers</t>
        </is>
      </c>
      <c r="C14" s="11" t="n">
        <v>0.35</v>
      </c>
      <c r="D14" s="8" t="inlineStr">
        <is>
          <t>Assumption.</t>
        </is>
      </c>
    </row>
    <row r="15">
      <c r="A15" t="inlineStr">
        <is>
          <t>New-customer mix, 101-500</t>
        </is>
      </c>
      <c r="B15" t="inlineStr">
        <is>
          <t>% of new customers</t>
        </is>
      </c>
      <c r="C15" s="11" t="n">
        <v>0.1</v>
      </c>
      <c r="D15" s="8" t="inlineStr">
        <is>
          <t>Assumption.</t>
        </is>
      </c>
    </row>
    <row r="16">
      <c r="A16" t="inlineStr">
        <is>
          <t>Mix check (must be 100%)</t>
        </is>
      </c>
      <c r="B16" t="inlineStr">
        <is>
          <t>%</t>
        </is>
      </c>
      <c r="C16" s="9">
        <f>mix_1+mix_2+mix_3</f>
        <v/>
      </c>
      <c r="D16" s="8" t="inlineStr">
        <is>
          <t>Formula.</t>
        </is>
      </c>
    </row>
    <row r="17">
      <c r="A17" s="5" t="inlineStr">
        <is>
          <t>Funnel (monthly)</t>
        </is>
      </c>
      <c r="B17" s="6" t="n"/>
      <c r="C17" s="6" t="n"/>
      <c r="D17" s="6" t="n"/>
    </row>
    <row r="18">
      <c r="A18" t="inlineStr">
        <is>
          <t>Website visitors, month 1</t>
        </is>
      </c>
      <c r="B18" t="inlineStr">
        <is>
          <t>visitors</t>
        </is>
      </c>
      <c r="C18" s="12" t="n">
        <v>40000</v>
      </c>
      <c r="D18" s="8" t="inlineStr">
        <is>
          <t>Assumption: illustrative scale. Volume changes MRR, not LTV:CAC.</t>
        </is>
      </c>
    </row>
    <row r="19">
      <c r="A19" t="inlineStr">
        <is>
          <t>Visitor growth</t>
        </is>
      </c>
      <c r="B19" t="inlineStr">
        <is>
          <t>% per month</t>
        </is>
      </c>
      <c r="C19" s="13" t="n">
        <v>0.03</v>
      </c>
      <c r="D19" s="8" t="inlineStr">
        <is>
          <t>Assumption.</t>
        </is>
      </c>
    </row>
    <row r="20">
      <c r="A20" t="inlineStr">
        <is>
          <t>Visitor to sign-up</t>
        </is>
      </c>
      <c r="B20" t="inlineStr">
        <is>
          <t>%</t>
        </is>
      </c>
      <c r="C20" s="13" t="n">
        <v>0.023</v>
      </c>
      <c r="D20" s="8" t="inlineStr">
        <is>
          <t>Benchmark: First Page Sage, B2B SaaS visitor-to-lead, small-company buyers ($1M-$10M revenue).</t>
        </is>
      </c>
    </row>
    <row r="21">
      <c r="A21" t="inlineStr">
        <is>
          <t>Sign-up to demo booked</t>
        </is>
      </c>
      <c r="B21" t="inlineStr">
        <is>
          <t>%</t>
        </is>
      </c>
      <c r="C21" s="13" t="n">
        <v>0.118</v>
      </c>
      <c r="D21" s="8" t="inlineStr">
        <is>
          <t>Benchmark-derived: First Page Sage lead-to-MQL 37% x MQL-to-SQL 32% (small companies). Treats SQL as demo booked.</t>
        </is>
      </c>
    </row>
    <row r="22">
      <c r="A22" t="inlineStr">
        <is>
          <t>Demo booked to demo held</t>
        </is>
      </c>
      <c r="B22" t="inlineStr">
        <is>
          <t>%</t>
        </is>
      </c>
      <c r="C22" s="9">
        <f>INDEX(Scenarios!$C$11:$E$11,1,Scenario_idx)</f>
        <v/>
      </c>
      <c r="D22" s="8" t="inlineStr">
        <is>
          <t>From Scenarios.</t>
        </is>
      </c>
    </row>
    <row r="23">
      <c r="A23" t="inlineStr">
        <is>
          <t>Demo held to trial</t>
        </is>
      </c>
      <c r="B23" t="inlineStr">
        <is>
          <t>%</t>
        </is>
      </c>
      <c r="C23" s="11" t="n">
        <v>0.4</v>
      </c>
      <c r="D23" s="8" t="inlineStr">
        <is>
          <t>Benchmark: First Page Sage SQL-to-opportunity 40% (small companies). Treats opportunity as trial started.</t>
        </is>
      </c>
    </row>
    <row r="24">
      <c r="A24" t="inlineStr">
        <is>
          <t>Trial to paid</t>
        </is>
      </c>
      <c r="B24" t="inlineStr">
        <is>
          <t>%</t>
        </is>
      </c>
      <c r="C24" s="14">
        <f>INDEX(Scenarios!$C$12:$E$12,1,Scenario_idx)</f>
        <v/>
      </c>
      <c r="D24" s="8" t="inlineStr">
        <is>
          <t>From Scenarios.</t>
        </is>
      </c>
    </row>
    <row r="25">
      <c r="A25" s="5" t="inlineStr">
        <is>
          <t>Costs</t>
        </is>
      </c>
      <c r="B25" s="6" t="n"/>
      <c r="C25" s="6" t="n"/>
      <c r="D25" s="6" t="n"/>
    </row>
    <row r="26">
      <c r="A26" t="inlineStr">
        <is>
          <t>Marketing cost per visitor</t>
        </is>
      </c>
      <c r="B26" t="inlineStr">
        <is>
          <t>₹/visitor</t>
        </is>
      </c>
      <c r="C26" s="7" t="n">
        <v>10</v>
      </c>
      <c r="D26" s="8" t="inlineStr">
        <is>
          <t>Assumption: blended organic and paid traffic. Not verified. Replace with marketing spend / visitors.</t>
        </is>
      </c>
    </row>
    <row r="27">
      <c r="A27" t="inlineStr">
        <is>
          <t>Sales cost per demo held</t>
        </is>
      </c>
      <c r="B27" t="inlineStr">
        <is>
          <t>₹/demo held</t>
        </is>
      </c>
      <c r="C27" s="7" t="n">
        <v>3000</v>
      </c>
      <c r="D27" s="8" t="inlineStr">
        <is>
          <t>Assumption: one inside-sales rep at ~₹1.25 lakh/month loaded cost holding ~40 demos a month. Not verified.</t>
        </is>
      </c>
    </row>
    <row r="28">
      <c r="A28" t="inlineStr">
        <is>
          <t>Gross margin</t>
        </is>
      </c>
      <c r="B28" t="inlineStr">
        <is>
          <t>% of revenue</t>
        </is>
      </c>
      <c r="C28" s="9">
        <f>INDEX(Scenarios!$C$13:$E$13,1,Scenario_idx)</f>
        <v/>
      </c>
      <c r="D28" s="8" t="inlineStr">
        <is>
          <t>From Scenarios.</t>
        </is>
      </c>
    </row>
    <row r="29">
      <c r="A29" s="5" t="inlineStr">
        <is>
          <t>Retention</t>
        </is>
      </c>
      <c r="B29" s="6" t="n"/>
      <c r="C29" s="6" t="n"/>
      <c r="D29" s="6" t="n"/>
    </row>
    <row r="30">
      <c r="A30" t="inlineStr">
        <is>
          <t>Monthly logo churn</t>
        </is>
      </c>
      <c r="B30" t="inlineStr">
        <is>
          <t>% of customers/month</t>
        </is>
      </c>
      <c r="C30" s="14">
        <f>INDEX(Scenarios!$C$8:$E$8,1,Scenario_idx)</f>
        <v/>
      </c>
      <c r="D30" s="8" t="inlineStr">
        <is>
          <t>From Scenarios.</t>
        </is>
      </c>
    </row>
    <row r="31">
      <c r="A31" t="inlineStr">
        <is>
          <t>Monthly seat expansion</t>
        </is>
      </c>
      <c r="B31" t="inlineStr">
        <is>
          <t>% per month</t>
        </is>
      </c>
      <c r="C31" s="14">
        <f>INDEX(Scenarios!$C$9:$E$9,1,Scenario_idx)</f>
        <v/>
      </c>
      <c r="D31" s="8" t="inlineStr">
        <is>
          <t>From Scenarios.</t>
        </is>
      </c>
    </row>
    <row r="32">
      <c r="A32" s="5" t="inlineStr">
        <is>
          <t>Model settings</t>
        </is>
      </c>
      <c r="B32" s="6" t="n"/>
      <c r="C32" s="6" t="n"/>
      <c r="D32" s="6" t="n"/>
    </row>
    <row r="33">
      <c r="A33" t="inlineStr">
        <is>
          <t>LTV horizon</t>
        </is>
      </c>
      <c r="B33" t="inlineStr">
        <is>
          <t>months</t>
        </is>
      </c>
      <c r="C33" s="10" t="n">
        <v>60</v>
      </c>
      <c r="D33" s="8" t="inlineStr">
        <is>
          <t>Assumption: a 5-year cap stops LTV exploding when expansion nears churn.</t>
        </is>
      </c>
    </row>
    <row r="34">
      <c r="A34" t="inlineStr">
        <is>
          <t>Lever improvement for ranking</t>
        </is>
      </c>
      <c r="B34" t="inlineStr">
        <is>
          <t>% relative</t>
        </is>
      </c>
      <c r="C34" s="11" t="n">
        <v>0.2</v>
      </c>
      <c r="D34" s="8" t="inlineStr">
        <is>
          <t>Set by the question: every lever improved by the same relative amount.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0" customWidth="1" min="3" max="3"/>
    <col width="10" customWidth="1" min="4" max="4"/>
    <col width="10" customWidth="1" min="5" max="5"/>
    <col width="90" customWidth="1" min="6" max="6"/>
  </cols>
  <sheetData>
    <row r="1">
      <c r="A1" s="1" t="inlineStr">
        <is>
          <t>Scenarios</t>
        </is>
      </c>
    </row>
    <row r="3">
      <c r="A3" s="2" t="inlineStr">
        <is>
          <t>Active scenario (choose)</t>
        </is>
      </c>
      <c r="C3" s="15" t="inlineStr">
        <is>
          <t>Base</t>
        </is>
      </c>
    </row>
    <row r="4">
      <c r="A4" t="inlineStr">
        <is>
          <t>Scenario index (formula)</t>
        </is>
      </c>
      <c r="C4">
        <f>MATCH(C3,$C$7:$E$7,0)</f>
        <v/>
      </c>
    </row>
    <row r="7">
      <c r="A7" s="4" t="inlineStr">
        <is>
          <t>Driver</t>
        </is>
      </c>
      <c r="B7" s="4" t="inlineStr">
        <is>
          <t>Unit</t>
        </is>
      </c>
      <c r="C7" s="4" t="inlineStr">
        <is>
          <t>Bear</t>
        </is>
      </c>
      <c r="D7" s="4" t="inlineStr">
        <is>
          <t>Base</t>
        </is>
      </c>
      <c r="E7" s="4" t="inlineStr">
        <is>
          <t>Bull</t>
        </is>
      </c>
      <c r="F7" s="4" t="inlineStr">
        <is>
          <t>Why these values</t>
        </is>
      </c>
    </row>
    <row r="8">
      <c r="A8" t="inlineStr">
        <is>
          <t>Monthly logo churn</t>
        </is>
      </c>
      <c r="B8" t="inlineStr">
        <is>
          <t>% of customers/month</t>
        </is>
      </c>
      <c r="C8" s="13" t="n">
        <v>0.05</v>
      </c>
      <c r="D8" s="13" t="n">
        <v>0.03</v>
      </c>
      <c r="E8" s="13" t="n">
        <v>0.02</v>
      </c>
      <c r="F8" s="8" t="inlineStr">
        <is>
          <t>Kalungi (2025) puts SMB SaaS at 3-7% a month. Base sits at the low end because payroll is costly to switch mid-year (assumption).</t>
        </is>
      </c>
    </row>
    <row r="9">
      <c r="A9" t="inlineStr">
        <is>
          <t>Monthly seat expansion</t>
        </is>
      </c>
      <c r="B9" t="inlineStr">
        <is>
          <t>% headcount growth/month</t>
        </is>
      </c>
      <c r="C9" s="13" t="n">
        <v>0.005</v>
      </c>
      <c r="D9" s="13" t="n">
        <v>0.01</v>
      </c>
      <c r="E9" s="13" t="n">
        <v>0.015</v>
      </c>
      <c r="F9" s="8" t="inlineStr">
        <is>
          <t>Assumption. Employee growth at existing customers. No verified public figure for Indian SMBs.</t>
        </is>
      </c>
    </row>
    <row r="10">
      <c r="A10" t="inlineStr">
        <is>
          <t>Discount off list price</t>
        </is>
      </c>
      <c r="B10" t="inlineStr">
        <is>
          <t>% of list</t>
        </is>
      </c>
      <c r="C10" s="11" t="n">
        <v>0.25</v>
      </c>
      <c r="D10" s="11" t="n">
        <v>0.15</v>
      </c>
      <c r="E10" s="11" t="n">
        <v>0.05</v>
      </c>
      <c r="F10" s="8" t="inlineStr">
        <is>
          <t>Base ~ annual billing with 2 months free (16.7%), offered by Asanify. Bear reflects advertised promotions (Asanify: up to 60% off select plans).</t>
        </is>
      </c>
    </row>
    <row r="11">
      <c r="A11" t="inlineStr">
        <is>
          <t>Demo show rate (booked to held)</t>
        </is>
      </c>
      <c r="B11" t="inlineStr">
        <is>
          <t>%</t>
        </is>
      </c>
      <c r="C11" s="11" t="n">
        <v>0.55</v>
      </c>
      <c r="D11" s="11" t="n">
        <v>0.65</v>
      </c>
      <c r="E11" s="11" t="n">
        <v>0.8</v>
      </c>
      <c r="F11" s="8" t="inlineStr">
        <is>
          <t>Weak benchmark: GrowthSpree (vendor blog, 2026, no method disclosed) gives a 55-65% median and 75-85% top quartile. Base uses the top of the median range.</t>
        </is>
      </c>
    </row>
    <row r="12">
      <c r="A12" t="inlineStr">
        <is>
          <t>Trial to paid</t>
        </is>
      </c>
      <c r="B12" t="inlineStr">
        <is>
          <t>%</t>
        </is>
      </c>
      <c r="C12" s="13" t="n">
        <v>0.227</v>
      </c>
      <c r="D12" s="13" t="n">
        <v>0.35</v>
      </c>
      <c r="E12" s="13" t="n">
        <v>0.46</v>
      </c>
      <c r="F12" s="8" t="inlineStr">
        <is>
          <t>Bear: First Page Sage HR-industry trial-to-paid 22.7%. Bull: First Page Sage opportunity-to-close 46% for small-company buyers. Base: midpoint (assumption).</t>
        </is>
      </c>
    </row>
    <row r="13">
      <c r="A13" t="inlineStr">
        <is>
          <t>Gross margin</t>
        </is>
      </c>
      <c r="B13" t="inlineStr">
        <is>
          <t>% of revenue</t>
        </is>
      </c>
      <c r="C13" s="11" t="n">
        <v>0.7</v>
      </c>
      <c r="D13" s="11" t="n">
        <v>0.75</v>
      </c>
      <c r="E13" s="11" t="n">
        <v>0.8</v>
      </c>
      <c r="F13" s="8" t="inlineStr">
        <is>
          <t>SaaS Capital 2026 medians (% of ARR): hosting 5%, DevOps 4%, pro-services CoGS 5%, other CoGS 3%, support and success 9%. About 26% if all sit in cost of revenue.</t>
        </is>
      </c>
    </row>
  </sheetData>
  <dataValidations count="1">
    <dataValidation sqref="C3" showDropDown="0" showInputMessage="0" showErrorMessage="0" allowBlank="0" type="list">
      <formula1>"Bear,Base,Bull"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24-month funnel, customers and MRR (expected values)</t>
        </is>
      </c>
    </row>
    <row r="2">
      <c r="A2" t="inlineStr">
        <is>
          <t>Customers who join in a month do not churn that month. MRR grows with seat expansion and falls with churn.</t>
        </is>
      </c>
    </row>
    <row r="3">
      <c r="A3" s="4" t="inlineStr">
        <is>
          <t>Month</t>
        </is>
      </c>
      <c r="B3" s="4" t="inlineStr">
        <is>
          <t>Visitors</t>
        </is>
      </c>
      <c r="C3" s="4" t="inlineStr">
        <is>
          <t>Sign-ups</t>
        </is>
      </c>
      <c r="D3" s="4" t="inlineStr">
        <is>
          <t>Demos booked</t>
        </is>
      </c>
      <c r="E3" s="4" t="inlineStr">
        <is>
          <t>Demos held</t>
        </is>
      </c>
      <c r="F3" s="4" t="inlineStr">
        <is>
          <t>Trials</t>
        </is>
      </c>
      <c r="G3" s="4" t="inlineStr">
        <is>
          <t>New customers</t>
        </is>
      </c>
      <c r="H3" s="4" t="inlineStr">
        <is>
          <t>New 10-25</t>
        </is>
      </c>
      <c r="I3" s="4" t="inlineStr">
        <is>
          <t>New 26-100</t>
        </is>
      </c>
      <c r="J3" s="4" t="inlineStr">
        <is>
          <t>New 101-500</t>
        </is>
      </c>
      <c r="K3" s="4" t="inlineStr">
        <is>
          <t>Active 10-25</t>
        </is>
      </c>
      <c r="L3" s="4" t="inlineStr">
        <is>
          <t>Active 26-100</t>
        </is>
      </c>
      <c r="M3" s="4" t="inlineStr">
        <is>
          <t>Active 101-500</t>
        </is>
      </c>
      <c r="N3" s="4" t="inlineStr">
        <is>
          <t>Active total</t>
        </is>
      </c>
      <c r="O3" s="4" t="inlineStr">
        <is>
          <t>Cumulative acquired</t>
        </is>
      </c>
      <c r="P3" s="4" t="inlineStr">
        <is>
          <t>MRR 10-25</t>
        </is>
      </c>
      <c r="Q3" s="4" t="inlineStr">
        <is>
          <t>MRR 26-100</t>
        </is>
      </c>
      <c r="R3" s="4" t="inlineStr">
        <is>
          <t>MRR 101-500</t>
        </is>
      </c>
      <c r="S3" s="4" t="inlineStr">
        <is>
          <t>MRR total</t>
        </is>
      </c>
      <c r="T3" s="4" t="inlineStr">
        <is>
          <t>S&amp;M spend</t>
        </is>
      </c>
      <c r="U3" s="4" t="inlineStr">
        <is>
          <t>CAC (month)</t>
        </is>
      </c>
    </row>
    <row r="4">
      <c r="A4" s="16" t="n">
        <v>1</v>
      </c>
      <c r="B4" s="17">
        <f>visitors_m1*(1+visitor_growth)^(A4-1)</f>
        <v/>
      </c>
      <c r="C4" s="17">
        <f>B4*v2s</f>
        <v/>
      </c>
      <c r="D4" s="17">
        <f>C4*s2d</f>
        <v/>
      </c>
      <c r="E4" s="18">
        <f>D4*show_rate</f>
        <v/>
      </c>
      <c r="F4" s="18">
        <f>E4*held2trial</f>
        <v/>
      </c>
      <c r="G4" s="18">
        <f>F4*trial2paid</f>
        <v/>
      </c>
      <c r="H4" s="18">
        <f>G4*mix_1</f>
        <v/>
      </c>
      <c r="I4" s="18">
        <f>G4*mix_2</f>
        <v/>
      </c>
      <c r="J4" s="18">
        <f>G4*mix_3</f>
        <v/>
      </c>
      <c r="K4" s="18">
        <f>H4</f>
        <v/>
      </c>
      <c r="L4" s="18">
        <f>I4</f>
        <v/>
      </c>
      <c r="M4" s="18">
        <f>J4</f>
        <v/>
      </c>
      <c r="N4" s="18">
        <f>SUM(K4:M4)</f>
        <v/>
      </c>
      <c r="O4" s="18">
        <f>G4</f>
        <v/>
      </c>
      <c r="P4" s="19">
        <f>H4*ARPA_1</f>
        <v/>
      </c>
      <c r="Q4" s="19">
        <f>I4*ARPA_2</f>
        <v/>
      </c>
      <c r="R4" s="19">
        <f>J4*ARPA_3</f>
        <v/>
      </c>
      <c r="S4" s="19">
        <f>SUM(P4:R4)</f>
        <v/>
      </c>
      <c r="T4" s="19">
        <f>B4*cpv+E4*cost_per_demo</f>
        <v/>
      </c>
      <c r="U4" s="19">
        <f>T4/G4</f>
        <v/>
      </c>
    </row>
    <row r="5">
      <c r="A5" s="16" t="n">
        <v>2</v>
      </c>
      <c r="B5" s="17">
        <f>visitors_m1*(1+visitor_growth)^(A5-1)</f>
        <v/>
      </c>
      <c r="C5" s="17">
        <f>B5*v2s</f>
        <v/>
      </c>
      <c r="D5" s="17">
        <f>C5*s2d</f>
        <v/>
      </c>
      <c r="E5" s="18">
        <f>D5*show_rate</f>
        <v/>
      </c>
      <c r="F5" s="18">
        <f>E5*held2trial</f>
        <v/>
      </c>
      <c r="G5" s="18">
        <f>F5*trial2paid</f>
        <v/>
      </c>
      <c r="H5" s="18">
        <f>G5*mix_1</f>
        <v/>
      </c>
      <c r="I5" s="18">
        <f>G5*mix_2</f>
        <v/>
      </c>
      <c r="J5" s="18">
        <f>G5*mix_3</f>
        <v/>
      </c>
      <c r="K5" s="18">
        <f>K4*(1-churn)+H5</f>
        <v/>
      </c>
      <c r="L5" s="18">
        <f>L4*(1-churn)+I5</f>
        <v/>
      </c>
      <c r="M5" s="18">
        <f>M4*(1-churn)+J5</f>
        <v/>
      </c>
      <c r="N5" s="18">
        <f>SUM(K5:M5)</f>
        <v/>
      </c>
      <c r="O5" s="18">
        <f>O4+G5</f>
        <v/>
      </c>
      <c r="P5" s="19">
        <f>P4*(1-churn)*(1+expansion)+H5*ARPA_1</f>
        <v/>
      </c>
      <c r="Q5" s="19">
        <f>Q4*(1-churn)*(1+expansion)+I5*ARPA_2</f>
        <v/>
      </c>
      <c r="R5" s="19">
        <f>R4*(1-churn)*(1+expansion)+J5*ARPA_3</f>
        <v/>
      </c>
      <c r="S5" s="19">
        <f>SUM(P5:R5)</f>
        <v/>
      </c>
      <c r="T5" s="19">
        <f>B5*cpv+E5*cost_per_demo</f>
        <v/>
      </c>
      <c r="U5" s="19">
        <f>T5/G5</f>
        <v/>
      </c>
    </row>
    <row r="6">
      <c r="A6" s="16" t="n">
        <v>3</v>
      </c>
      <c r="B6" s="17">
        <f>visitors_m1*(1+visitor_growth)^(A6-1)</f>
        <v/>
      </c>
      <c r="C6" s="17">
        <f>B6*v2s</f>
        <v/>
      </c>
      <c r="D6" s="17">
        <f>C6*s2d</f>
        <v/>
      </c>
      <c r="E6" s="18">
        <f>D6*show_rate</f>
        <v/>
      </c>
      <c r="F6" s="18">
        <f>E6*held2trial</f>
        <v/>
      </c>
      <c r="G6" s="18">
        <f>F6*trial2paid</f>
        <v/>
      </c>
      <c r="H6" s="18">
        <f>G6*mix_1</f>
        <v/>
      </c>
      <c r="I6" s="18">
        <f>G6*mix_2</f>
        <v/>
      </c>
      <c r="J6" s="18">
        <f>G6*mix_3</f>
        <v/>
      </c>
      <c r="K6" s="18">
        <f>K5*(1-churn)+H6</f>
        <v/>
      </c>
      <c r="L6" s="18">
        <f>L5*(1-churn)+I6</f>
        <v/>
      </c>
      <c r="M6" s="18">
        <f>M5*(1-churn)+J6</f>
        <v/>
      </c>
      <c r="N6" s="18">
        <f>SUM(K6:M6)</f>
        <v/>
      </c>
      <c r="O6" s="18">
        <f>O5+G6</f>
        <v/>
      </c>
      <c r="P6" s="19">
        <f>P5*(1-churn)*(1+expansion)+H6*ARPA_1</f>
        <v/>
      </c>
      <c r="Q6" s="19">
        <f>Q5*(1-churn)*(1+expansion)+I6*ARPA_2</f>
        <v/>
      </c>
      <c r="R6" s="19">
        <f>R5*(1-churn)*(1+expansion)+J6*ARPA_3</f>
        <v/>
      </c>
      <c r="S6" s="19">
        <f>SUM(P6:R6)</f>
        <v/>
      </c>
      <c r="T6" s="19">
        <f>B6*cpv+E6*cost_per_demo</f>
        <v/>
      </c>
      <c r="U6" s="19">
        <f>T6/G6</f>
        <v/>
      </c>
    </row>
    <row r="7">
      <c r="A7" s="16" t="n">
        <v>4</v>
      </c>
      <c r="B7" s="17">
        <f>visitors_m1*(1+visitor_growth)^(A7-1)</f>
        <v/>
      </c>
      <c r="C7" s="17">
        <f>B7*v2s</f>
        <v/>
      </c>
      <c r="D7" s="17">
        <f>C7*s2d</f>
        <v/>
      </c>
      <c r="E7" s="18">
        <f>D7*show_rate</f>
        <v/>
      </c>
      <c r="F7" s="18">
        <f>E7*held2trial</f>
        <v/>
      </c>
      <c r="G7" s="18">
        <f>F7*trial2paid</f>
        <v/>
      </c>
      <c r="H7" s="18">
        <f>G7*mix_1</f>
        <v/>
      </c>
      <c r="I7" s="18">
        <f>G7*mix_2</f>
        <v/>
      </c>
      <c r="J7" s="18">
        <f>G7*mix_3</f>
        <v/>
      </c>
      <c r="K7" s="18">
        <f>K6*(1-churn)+H7</f>
        <v/>
      </c>
      <c r="L7" s="18">
        <f>L6*(1-churn)+I7</f>
        <v/>
      </c>
      <c r="M7" s="18">
        <f>M6*(1-churn)+J7</f>
        <v/>
      </c>
      <c r="N7" s="18">
        <f>SUM(K7:M7)</f>
        <v/>
      </c>
      <c r="O7" s="18">
        <f>O6+G7</f>
        <v/>
      </c>
      <c r="P7" s="19">
        <f>P6*(1-churn)*(1+expansion)+H7*ARPA_1</f>
        <v/>
      </c>
      <c r="Q7" s="19">
        <f>Q6*(1-churn)*(1+expansion)+I7*ARPA_2</f>
        <v/>
      </c>
      <c r="R7" s="19">
        <f>R6*(1-churn)*(1+expansion)+J7*ARPA_3</f>
        <v/>
      </c>
      <c r="S7" s="19">
        <f>SUM(P7:R7)</f>
        <v/>
      </c>
      <c r="T7" s="19">
        <f>B7*cpv+E7*cost_per_demo</f>
        <v/>
      </c>
      <c r="U7" s="19">
        <f>T7/G7</f>
        <v/>
      </c>
    </row>
    <row r="8">
      <c r="A8" s="16" t="n">
        <v>5</v>
      </c>
      <c r="B8" s="17">
        <f>visitors_m1*(1+visitor_growth)^(A8-1)</f>
        <v/>
      </c>
      <c r="C8" s="17">
        <f>B8*v2s</f>
        <v/>
      </c>
      <c r="D8" s="17">
        <f>C8*s2d</f>
        <v/>
      </c>
      <c r="E8" s="18">
        <f>D8*show_rate</f>
        <v/>
      </c>
      <c r="F8" s="18">
        <f>E8*held2trial</f>
        <v/>
      </c>
      <c r="G8" s="18">
        <f>F8*trial2paid</f>
        <v/>
      </c>
      <c r="H8" s="18">
        <f>G8*mix_1</f>
        <v/>
      </c>
      <c r="I8" s="18">
        <f>G8*mix_2</f>
        <v/>
      </c>
      <c r="J8" s="18">
        <f>G8*mix_3</f>
        <v/>
      </c>
      <c r="K8" s="18">
        <f>K7*(1-churn)+H8</f>
        <v/>
      </c>
      <c r="L8" s="18">
        <f>L7*(1-churn)+I8</f>
        <v/>
      </c>
      <c r="M8" s="18">
        <f>M7*(1-churn)+J8</f>
        <v/>
      </c>
      <c r="N8" s="18">
        <f>SUM(K8:M8)</f>
        <v/>
      </c>
      <c r="O8" s="18">
        <f>O7+G8</f>
        <v/>
      </c>
      <c r="P8" s="19">
        <f>P7*(1-churn)*(1+expansion)+H8*ARPA_1</f>
        <v/>
      </c>
      <c r="Q8" s="19">
        <f>Q7*(1-churn)*(1+expansion)+I8*ARPA_2</f>
        <v/>
      </c>
      <c r="R8" s="19">
        <f>R7*(1-churn)*(1+expansion)+J8*ARPA_3</f>
        <v/>
      </c>
      <c r="S8" s="19">
        <f>SUM(P8:R8)</f>
        <v/>
      </c>
      <c r="T8" s="19">
        <f>B8*cpv+E8*cost_per_demo</f>
        <v/>
      </c>
      <c r="U8" s="19">
        <f>T8/G8</f>
        <v/>
      </c>
    </row>
    <row r="9">
      <c r="A9" s="16" t="n">
        <v>6</v>
      </c>
      <c r="B9" s="17">
        <f>visitors_m1*(1+visitor_growth)^(A9-1)</f>
        <v/>
      </c>
      <c r="C9" s="17">
        <f>B9*v2s</f>
        <v/>
      </c>
      <c r="D9" s="17">
        <f>C9*s2d</f>
        <v/>
      </c>
      <c r="E9" s="18">
        <f>D9*show_rate</f>
        <v/>
      </c>
      <c r="F9" s="18">
        <f>E9*held2trial</f>
        <v/>
      </c>
      <c r="G9" s="18">
        <f>F9*trial2paid</f>
        <v/>
      </c>
      <c r="H9" s="18">
        <f>G9*mix_1</f>
        <v/>
      </c>
      <c r="I9" s="18">
        <f>G9*mix_2</f>
        <v/>
      </c>
      <c r="J9" s="18">
        <f>G9*mix_3</f>
        <v/>
      </c>
      <c r="K9" s="18">
        <f>K8*(1-churn)+H9</f>
        <v/>
      </c>
      <c r="L9" s="18">
        <f>L8*(1-churn)+I9</f>
        <v/>
      </c>
      <c r="M9" s="18">
        <f>M8*(1-churn)+J9</f>
        <v/>
      </c>
      <c r="N9" s="18">
        <f>SUM(K9:M9)</f>
        <v/>
      </c>
      <c r="O9" s="18">
        <f>O8+G9</f>
        <v/>
      </c>
      <c r="P9" s="19">
        <f>P8*(1-churn)*(1+expansion)+H9*ARPA_1</f>
        <v/>
      </c>
      <c r="Q9" s="19">
        <f>Q8*(1-churn)*(1+expansion)+I9*ARPA_2</f>
        <v/>
      </c>
      <c r="R9" s="19">
        <f>R8*(1-churn)*(1+expansion)+J9*ARPA_3</f>
        <v/>
      </c>
      <c r="S9" s="19">
        <f>SUM(P9:R9)</f>
        <v/>
      </c>
      <c r="T9" s="19">
        <f>B9*cpv+E9*cost_per_demo</f>
        <v/>
      </c>
      <c r="U9" s="19">
        <f>T9/G9</f>
        <v/>
      </c>
    </row>
    <row r="10">
      <c r="A10" s="16" t="n">
        <v>7</v>
      </c>
      <c r="B10" s="17">
        <f>visitors_m1*(1+visitor_growth)^(A10-1)</f>
        <v/>
      </c>
      <c r="C10" s="17">
        <f>B10*v2s</f>
        <v/>
      </c>
      <c r="D10" s="17">
        <f>C10*s2d</f>
        <v/>
      </c>
      <c r="E10" s="18">
        <f>D10*show_rate</f>
        <v/>
      </c>
      <c r="F10" s="18">
        <f>E10*held2trial</f>
        <v/>
      </c>
      <c r="G10" s="18">
        <f>F10*trial2paid</f>
        <v/>
      </c>
      <c r="H10" s="18">
        <f>G10*mix_1</f>
        <v/>
      </c>
      <c r="I10" s="18">
        <f>G10*mix_2</f>
        <v/>
      </c>
      <c r="J10" s="18">
        <f>G10*mix_3</f>
        <v/>
      </c>
      <c r="K10" s="18">
        <f>K9*(1-churn)+H10</f>
        <v/>
      </c>
      <c r="L10" s="18">
        <f>L9*(1-churn)+I10</f>
        <v/>
      </c>
      <c r="M10" s="18">
        <f>M9*(1-churn)+J10</f>
        <v/>
      </c>
      <c r="N10" s="18">
        <f>SUM(K10:M10)</f>
        <v/>
      </c>
      <c r="O10" s="18">
        <f>O9+G10</f>
        <v/>
      </c>
      <c r="P10" s="19">
        <f>P9*(1-churn)*(1+expansion)+H10*ARPA_1</f>
        <v/>
      </c>
      <c r="Q10" s="19">
        <f>Q9*(1-churn)*(1+expansion)+I10*ARPA_2</f>
        <v/>
      </c>
      <c r="R10" s="19">
        <f>R9*(1-churn)*(1+expansion)+J10*ARPA_3</f>
        <v/>
      </c>
      <c r="S10" s="19">
        <f>SUM(P10:R10)</f>
        <v/>
      </c>
      <c r="T10" s="19">
        <f>B10*cpv+E10*cost_per_demo</f>
        <v/>
      </c>
      <c r="U10" s="19">
        <f>T10/G10</f>
        <v/>
      </c>
    </row>
    <row r="11">
      <c r="A11" s="16" t="n">
        <v>8</v>
      </c>
      <c r="B11" s="17">
        <f>visitors_m1*(1+visitor_growth)^(A11-1)</f>
        <v/>
      </c>
      <c r="C11" s="17">
        <f>B11*v2s</f>
        <v/>
      </c>
      <c r="D11" s="17">
        <f>C11*s2d</f>
        <v/>
      </c>
      <c r="E11" s="18">
        <f>D11*show_rate</f>
        <v/>
      </c>
      <c r="F11" s="18">
        <f>E11*held2trial</f>
        <v/>
      </c>
      <c r="G11" s="18">
        <f>F11*trial2paid</f>
        <v/>
      </c>
      <c r="H11" s="18">
        <f>G11*mix_1</f>
        <v/>
      </c>
      <c r="I11" s="18">
        <f>G11*mix_2</f>
        <v/>
      </c>
      <c r="J11" s="18">
        <f>G11*mix_3</f>
        <v/>
      </c>
      <c r="K11" s="18">
        <f>K10*(1-churn)+H11</f>
        <v/>
      </c>
      <c r="L11" s="18">
        <f>L10*(1-churn)+I11</f>
        <v/>
      </c>
      <c r="M11" s="18">
        <f>M10*(1-churn)+J11</f>
        <v/>
      </c>
      <c r="N11" s="18">
        <f>SUM(K11:M11)</f>
        <v/>
      </c>
      <c r="O11" s="18">
        <f>O10+G11</f>
        <v/>
      </c>
      <c r="P11" s="19">
        <f>P10*(1-churn)*(1+expansion)+H11*ARPA_1</f>
        <v/>
      </c>
      <c r="Q11" s="19">
        <f>Q10*(1-churn)*(1+expansion)+I11*ARPA_2</f>
        <v/>
      </c>
      <c r="R11" s="19">
        <f>R10*(1-churn)*(1+expansion)+J11*ARPA_3</f>
        <v/>
      </c>
      <c r="S11" s="19">
        <f>SUM(P11:R11)</f>
        <v/>
      </c>
      <c r="T11" s="19">
        <f>B11*cpv+E11*cost_per_demo</f>
        <v/>
      </c>
      <c r="U11" s="19">
        <f>T11/G11</f>
        <v/>
      </c>
    </row>
    <row r="12">
      <c r="A12" s="16" t="n">
        <v>9</v>
      </c>
      <c r="B12" s="17">
        <f>visitors_m1*(1+visitor_growth)^(A12-1)</f>
        <v/>
      </c>
      <c r="C12" s="17">
        <f>B12*v2s</f>
        <v/>
      </c>
      <c r="D12" s="17">
        <f>C12*s2d</f>
        <v/>
      </c>
      <c r="E12" s="18">
        <f>D12*show_rate</f>
        <v/>
      </c>
      <c r="F12" s="18">
        <f>E12*held2trial</f>
        <v/>
      </c>
      <c r="G12" s="18">
        <f>F12*trial2paid</f>
        <v/>
      </c>
      <c r="H12" s="18">
        <f>G12*mix_1</f>
        <v/>
      </c>
      <c r="I12" s="18">
        <f>G12*mix_2</f>
        <v/>
      </c>
      <c r="J12" s="18">
        <f>G12*mix_3</f>
        <v/>
      </c>
      <c r="K12" s="18">
        <f>K11*(1-churn)+H12</f>
        <v/>
      </c>
      <c r="L12" s="18">
        <f>L11*(1-churn)+I12</f>
        <v/>
      </c>
      <c r="M12" s="18">
        <f>M11*(1-churn)+J12</f>
        <v/>
      </c>
      <c r="N12" s="18">
        <f>SUM(K12:M12)</f>
        <v/>
      </c>
      <c r="O12" s="18">
        <f>O11+G12</f>
        <v/>
      </c>
      <c r="P12" s="19">
        <f>P11*(1-churn)*(1+expansion)+H12*ARPA_1</f>
        <v/>
      </c>
      <c r="Q12" s="19">
        <f>Q11*(1-churn)*(1+expansion)+I12*ARPA_2</f>
        <v/>
      </c>
      <c r="R12" s="19">
        <f>R11*(1-churn)*(1+expansion)+J12*ARPA_3</f>
        <v/>
      </c>
      <c r="S12" s="19">
        <f>SUM(P12:R12)</f>
        <v/>
      </c>
      <c r="T12" s="19">
        <f>B12*cpv+E12*cost_per_demo</f>
        <v/>
      </c>
      <c r="U12" s="19">
        <f>T12/G12</f>
        <v/>
      </c>
    </row>
    <row r="13">
      <c r="A13" s="16" t="n">
        <v>10</v>
      </c>
      <c r="B13" s="17">
        <f>visitors_m1*(1+visitor_growth)^(A13-1)</f>
        <v/>
      </c>
      <c r="C13" s="17">
        <f>B13*v2s</f>
        <v/>
      </c>
      <c r="D13" s="17">
        <f>C13*s2d</f>
        <v/>
      </c>
      <c r="E13" s="18">
        <f>D13*show_rate</f>
        <v/>
      </c>
      <c r="F13" s="18">
        <f>E13*held2trial</f>
        <v/>
      </c>
      <c r="G13" s="18">
        <f>F13*trial2paid</f>
        <v/>
      </c>
      <c r="H13" s="18">
        <f>G13*mix_1</f>
        <v/>
      </c>
      <c r="I13" s="18">
        <f>G13*mix_2</f>
        <v/>
      </c>
      <c r="J13" s="18">
        <f>G13*mix_3</f>
        <v/>
      </c>
      <c r="K13" s="18">
        <f>K12*(1-churn)+H13</f>
        <v/>
      </c>
      <c r="L13" s="18">
        <f>L12*(1-churn)+I13</f>
        <v/>
      </c>
      <c r="M13" s="18">
        <f>M12*(1-churn)+J13</f>
        <v/>
      </c>
      <c r="N13" s="18">
        <f>SUM(K13:M13)</f>
        <v/>
      </c>
      <c r="O13" s="18">
        <f>O12+G13</f>
        <v/>
      </c>
      <c r="P13" s="19">
        <f>P12*(1-churn)*(1+expansion)+H13*ARPA_1</f>
        <v/>
      </c>
      <c r="Q13" s="19">
        <f>Q12*(1-churn)*(1+expansion)+I13*ARPA_2</f>
        <v/>
      </c>
      <c r="R13" s="19">
        <f>R12*(1-churn)*(1+expansion)+J13*ARPA_3</f>
        <v/>
      </c>
      <c r="S13" s="19">
        <f>SUM(P13:R13)</f>
        <v/>
      </c>
      <c r="T13" s="19">
        <f>B13*cpv+E13*cost_per_demo</f>
        <v/>
      </c>
      <c r="U13" s="19">
        <f>T13/G13</f>
        <v/>
      </c>
    </row>
    <row r="14">
      <c r="A14" s="16" t="n">
        <v>11</v>
      </c>
      <c r="B14" s="17">
        <f>visitors_m1*(1+visitor_growth)^(A14-1)</f>
        <v/>
      </c>
      <c r="C14" s="17">
        <f>B14*v2s</f>
        <v/>
      </c>
      <c r="D14" s="17">
        <f>C14*s2d</f>
        <v/>
      </c>
      <c r="E14" s="18">
        <f>D14*show_rate</f>
        <v/>
      </c>
      <c r="F14" s="18">
        <f>E14*held2trial</f>
        <v/>
      </c>
      <c r="G14" s="18">
        <f>F14*trial2paid</f>
        <v/>
      </c>
      <c r="H14" s="18">
        <f>G14*mix_1</f>
        <v/>
      </c>
      <c r="I14" s="18">
        <f>G14*mix_2</f>
        <v/>
      </c>
      <c r="J14" s="18">
        <f>G14*mix_3</f>
        <v/>
      </c>
      <c r="K14" s="18">
        <f>K13*(1-churn)+H14</f>
        <v/>
      </c>
      <c r="L14" s="18">
        <f>L13*(1-churn)+I14</f>
        <v/>
      </c>
      <c r="M14" s="18">
        <f>M13*(1-churn)+J14</f>
        <v/>
      </c>
      <c r="N14" s="18">
        <f>SUM(K14:M14)</f>
        <v/>
      </c>
      <c r="O14" s="18">
        <f>O13+G14</f>
        <v/>
      </c>
      <c r="P14" s="19">
        <f>P13*(1-churn)*(1+expansion)+H14*ARPA_1</f>
        <v/>
      </c>
      <c r="Q14" s="19">
        <f>Q13*(1-churn)*(1+expansion)+I14*ARPA_2</f>
        <v/>
      </c>
      <c r="R14" s="19">
        <f>R13*(1-churn)*(1+expansion)+J14*ARPA_3</f>
        <v/>
      </c>
      <c r="S14" s="19">
        <f>SUM(P14:R14)</f>
        <v/>
      </c>
      <c r="T14" s="19">
        <f>B14*cpv+E14*cost_per_demo</f>
        <v/>
      </c>
      <c r="U14" s="19">
        <f>T14/G14</f>
        <v/>
      </c>
    </row>
    <row r="15">
      <c r="A15" s="16" t="n">
        <v>12</v>
      </c>
      <c r="B15" s="17">
        <f>visitors_m1*(1+visitor_growth)^(A15-1)</f>
        <v/>
      </c>
      <c r="C15" s="17">
        <f>B15*v2s</f>
        <v/>
      </c>
      <c r="D15" s="17">
        <f>C15*s2d</f>
        <v/>
      </c>
      <c r="E15" s="18">
        <f>D15*show_rate</f>
        <v/>
      </c>
      <c r="F15" s="18">
        <f>E15*held2trial</f>
        <v/>
      </c>
      <c r="G15" s="18">
        <f>F15*trial2paid</f>
        <v/>
      </c>
      <c r="H15" s="18">
        <f>G15*mix_1</f>
        <v/>
      </c>
      <c r="I15" s="18">
        <f>G15*mix_2</f>
        <v/>
      </c>
      <c r="J15" s="18">
        <f>G15*mix_3</f>
        <v/>
      </c>
      <c r="K15" s="18">
        <f>K14*(1-churn)+H15</f>
        <v/>
      </c>
      <c r="L15" s="18">
        <f>L14*(1-churn)+I15</f>
        <v/>
      </c>
      <c r="M15" s="18">
        <f>M14*(1-churn)+J15</f>
        <v/>
      </c>
      <c r="N15" s="18">
        <f>SUM(K15:M15)</f>
        <v/>
      </c>
      <c r="O15" s="18">
        <f>O14+G15</f>
        <v/>
      </c>
      <c r="P15" s="19">
        <f>P14*(1-churn)*(1+expansion)+H15*ARPA_1</f>
        <v/>
      </c>
      <c r="Q15" s="19">
        <f>Q14*(1-churn)*(1+expansion)+I15*ARPA_2</f>
        <v/>
      </c>
      <c r="R15" s="19">
        <f>R14*(1-churn)*(1+expansion)+J15*ARPA_3</f>
        <v/>
      </c>
      <c r="S15" s="19">
        <f>SUM(P15:R15)</f>
        <v/>
      </c>
      <c r="T15" s="19">
        <f>B15*cpv+E15*cost_per_demo</f>
        <v/>
      </c>
      <c r="U15" s="19">
        <f>T15/G15</f>
        <v/>
      </c>
    </row>
    <row r="16">
      <c r="A16" s="16" t="n">
        <v>13</v>
      </c>
      <c r="B16" s="17">
        <f>visitors_m1*(1+visitor_growth)^(A16-1)</f>
        <v/>
      </c>
      <c r="C16" s="17">
        <f>B16*v2s</f>
        <v/>
      </c>
      <c r="D16" s="17">
        <f>C16*s2d</f>
        <v/>
      </c>
      <c r="E16" s="18">
        <f>D16*show_rate</f>
        <v/>
      </c>
      <c r="F16" s="18">
        <f>E16*held2trial</f>
        <v/>
      </c>
      <c r="G16" s="18">
        <f>F16*trial2paid</f>
        <v/>
      </c>
      <c r="H16" s="18">
        <f>G16*mix_1</f>
        <v/>
      </c>
      <c r="I16" s="18">
        <f>G16*mix_2</f>
        <v/>
      </c>
      <c r="J16" s="18">
        <f>G16*mix_3</f>
        <v/>
      </c>
      <c r="K16" s="18">
        <f>K15*(1-churn)+H16</f>
        <v/>
      </c>
      <c r="L16" s="18">
        <f>L15*(1-churn)+I16</f>
        <v/>
      </c>
      <c r="M16" s="18">
        <f>M15*(1-churn)+J16</f>
        <v/>
      </c>
      <c r="N16" s="18">
        <f>SUM(K16:M16)</f>
        <v/>
      </c>
      <c r="O16" s="18">
        <f>O15+G16</f>
        <v/>
      </c>
      <c r="P16" s="19">
        <f>P15*(1-churn)*(1+expansion)+H16*ARPA_1</f>
        <v/>
      </c>
      <c r="Q16" s="19">
        <f>Q15*(1-churn)*(1+expansion)+I16*ARPA_2</f>
        <v/>
      </c>
      <c r="R16" s="19">
        <f>R15*(1-churn)*(1+expansion)+J16*ARPA_3</f>
        <v/>
      </c>
      <c r="S16" s="19">
        <f>SUM(P16:R16)</f>
        <v/>
      </c>
      <c r="T16" s="19">
        <f>B16*cpv+E16*cost_per_demo</f>
        <v/>
      </c>
      <c r="U16" s="19">
        <f>T16/G16</f>
        <v/>
      </c>
    </row>
    <row r="17">
      <c r="A17" s="16" t="n">
        <v>14</v>
      </c>
      <c r="B17" s="17">
        <f>visitors_m1*(1+visitor_growth)^(A17-1)</f>
        <v/>
      </c>
      <c r="C17" s="17">
        <f>B17*v2s</f>
        <v/>
      </c>
      <c r="D17" s="17">
        <f>C17*s2d</f>
        <v/>
      </c>
      <c r="E17" s="18">
        <f>D17*show_rate</f>
        <v/>
      </c>
      <c r="F17" s="18">
        <f>E17*held2trial</f>
        <v/>
      </c>
      <c r="G17" s="18">
        <f>F17*trial2paid</f>
        <v/>
      </c>
      <c r="H17" s="18">
        <f>G17*mix_1</f>
        <v/>
      </c>
      <c r="I17" s="18">
        <f>G17*mix_2</f>
        <v/>
      </c>
      <c r="J17" s="18">
        <f>G17*mix_3</f>
        <v/>
      </c>
      <c r="K17" s="18">
        <f>K16*(1-churn)+H17</f>
        <v/>
      </c>
      <c r="L17" s="18">
        <f>L16*(1-churn)+I17</f>
        <v/>
      </c>
      <c r="M17" s="18">
        <f>M16*(1-churn)+J17</f>
        <v/>
      </c>
      <c r="N17" s="18">
        <f>SUM(K17:M17)</f>
        <v/>
      </c>
      <c r="O17" s="18">
        <f>O16+G17</f>
        <v/>
      </c>
      <c r="P17" s="19">
        <f>P16*(1-churn)*(1+expansion)+H17*ARPA_1</f>
        <v/>
      </c>
      <c r="Q17" s="19">
        <f>Q16*(1-churn)*(1+expansion)+I17*ARPA_2</f>
        <v/>
      </c>
      <c r="R17" s="19">
        <f>R16*(1-churn)*(1+expansion)+J17*ARPA_3</f>
        <v/>
      </c>
      <c r="S17" s="19">
        <f>SUM(P17:R17)</f>
        <v/>
      </c>
      <c r="T17" s="19">
        <f>B17*cpv+E17*cost_per_demo</f>
        <v/>
      </c>
      <c r="U17" s="19">
        <f>T17/G17</f>
        <v/>
      </c>
    </row>
    <row r="18">
      <c r="A18" s="16" t="n">
        <v>15</v>
      </c>
      <c r="B18" s="17">
        <f>visitors_m1*(1+visitor_growth)^(A18-1)</f>
        <v/>
      </c>
      <c r="C18" s="17">
        <f>B18*v2s</f>
        <v/>
      </c>
      <c r="D18" s="17">
        <f>C18*s2d</f>
        <v/>
      </c>
      <c r="E18" s="18">
        <f>D18*show_rate</f>
        <v/>
      </c>
      <c r="F18" s="18">
        <f>E18*held2trial</f>
        <v/>
      </c>
      <c r="G18" s="18">
        <f>F18*trial2paid</f>
        <v/>
      </c>
      <c r="H18" s="18">
        <f>G18*mix_1</f>
        <v/>
      </c>
      <c r="I18" s="18">
        <f>G18*mix_2</f>
        <v/>
      </c>
      <c r="J18" s="18">
        <f>G18*mix_3</f>
        <v/>
      </c>
      <c r="K18" s="18">
        <f>K17*(1-churn)+H18</f>
        <v/>
      </c>
      <c r="L18" s="18">
        <f>L17*(1-churn)+I18</f>
        <v/>
      </c>
      <c r="M18" s="18">
        <f>M17*(1-churn)+J18</f>
        <v/>
      </c>
      <c r="N18" s="18">
        <f>SUM(K18:M18)</f>
        <v/>
      </c>
      <c r="O18" s="18">
        <f>O17+G18</f>
        <v/>
      </c>
      <c r="P18" s="19">
        <f>P17*(1-churn)*(1+expansion)+H18*ARPA_1</f>
        <v/>
      </c>
      <c r="Q18" s="19">
        <f>Q17*(1-churn)*(1+expansion)+I18*ARPA_2</f>
        <v/>
      </c>
      <c r="R18" s="19">
        <f>R17*(1-churn)*(1+expansion)+J18*ARPA_3</f>
        <v/>
      </c>
      <c r="S18" s="19">
        <f>SUM(P18:R18)</f>
        <v/>
      </c>
      <c r="T18" s="19">
        <f>B18*cpv+E18*cost_per_demo</f>
        <v/>
      </c>
      <c r="U18" s="19">
        <f>T18/G18</f>
        <v/>
      </c>
    </row>
    <row r="19">
      <c r="A19" s="16" t="n">
        <v>16</v>
      </c>
      <c r="B19" s="17">
        <f>visitors_m1*(1+visitor_growth)^(A19-1)</f>
        <v/>
      </c>
      <c r="C19" s="17">
        <f>B19*v2s</f>
        <v/>
      </c>
      <c r="D19" s="17">
        <f>C19*s2d</f>
        <v/>
      </c>
      <c r="E19" s="18">
        <f>D19*show_rate</f>
        <v/>
      </c>
      <c r="F19" s="18">
        <f>E19*held2trial</f>
        <v/>
      </c>
      <c r="G19" s="18">
        <f>F19*trial2paid</f>
        <v/>
      </c>
      <c r="H19" s="18">
        <f>G19*mix_1</f>
        <v/>
      </c>
      <c r="I19" s="18">
        <f>G19*mix_2</f>
        <v/>
      </c>
      <c r="J19" s="18">
        <f>G19*mix_3</f>
        <v/>
      </c>
      <c r="K19" s="18">
        <f>K18*(1-churn)+H19</f>
        <v/>
      </c>
      <c r="L19" s="18">
        <f>L18*(1-churn)+I19</f>
        <v/>
      </c>
      <c r="M19" s="18">
        <f>M18*(1-churn)+J19</f>
        <v/>
      </c>
      <c r="N19" s="18">
        <f>SUM(K19:M19)</f>
        <v/>
      </c>
      <c r="O19" s="18">
        <f>O18+G19</f>
        <v/>
      </c>
      <c r="P19" s="19">
        <f>P18*(1-churn)*(1+expansion)+H19*ARPA_1</f>
        <v/>
      </c>
      <c r="Q19" s="19">
        <f>Q18*(1-churn)*(1+expansion)+I19*ARPA_2</f>
        <v/>
      </c>
      <c r="R19" s="19">
        <f>R18*(1-churn)*(1+expansion)+J19*ARPA_3</f>
        <v/>
      </c>
      <c r="S19" s="19">
        <f>SUM(P19:R19)</f>
        <v/>
      </c>
      <c r="T19" s="19">
        <f>B19*cpv+E19*cost_per_demo</f>
        <v/>
      </c>
      <c r="U19" s="19">
        <f>T19/G19</f>
        <v/>
      </c>
    </row>
    <row r="20">
      <c r="A20" s="16" t="n">
        <v>17</v>
      </c>
      <c r="B20" s="17">
        <f>visitors_m1*(1+visitor_growth)^(A20-1)</f>
        <v/>
      </c>
      <c r="C20" s="17">
        <f>B20*v2s</f>
        <v/>
      </c>
      <c r="D20" s="17">
        <f>C20*s2d</f>
        <v/>
      </c>
      <c r="E20" s="18">
        <f>D20*show_rate</f>
        <v/>
      </c>
      <c r="F20" s="18">
        <f>E20*held2trial</f>
        <v/>
      </c>
      <c r="G20" s="18">
        <f>F20*trial2paid</f>
        <v/>
      </c>
      <c r="H20" s="18">
        <f>G20*mix_1</f>
        <v/>
      </c>
      <c r="I20" s="18">
        <f>G20*mix_2</f>
        <v/>
      </c>
      <c r="J20" s="18">
        <f>G20*mix_3</f>
        <v/>
      </c>
      <c r="K20" s="18">
        <f>K19*(1-churn)+H20</f>
        <v/>
      </c>
      <c r="L20" s="18">
        <f>L19*(1-churn)+I20</f>
        <v/>
      </c>
      <c r="M20" s="18">
        <f>M19*(1-churn)+J20</f>
        <v/>
      </c>
      <c r="N20" s="18">
        <f>SUM(K20:M20)</f>
        <v/>
      </c>
      <c r="O20" s="18">
        <f>O19+G20</f>
        <v/>
      </c>
      <c r="P20" s="19">
        <f>P19*(1-churn)*(1+expansion)+H20*ARPA_1</f>
        <v/>
      </c>
      <c r="Q20" s="19">
        <f>Q19*(1-churn)*(1+expansion)+I20*ARPA_2</f>
        <v/>
      </c>
      <c r="R20" s="19">
        <f>R19*(1-churn)*(1+expansion)+J20*ARPA_3</f>
        <v/>
      </c>
      <c r="S20" s="19">
        <f>SUM(P20:R20)</f>
        <v/>
      </c>
      <c r="T20" s="19">
        <f>B20*cpv+E20*cost_per_demo</f>
        <v/>
      </c>
      <c r="U20" s="19">
        <f>T20/G20</f>
        <v/>
      </c>
    </row>
    <row r="21">
      <c r="A21" s="16" t="n">
        <v>18</v>
      </c>
      <c r="B21" s="17">
        <f>visitors_m1*(1+visitor_growth)^(A21-1)</f>
        <v/>
      </c>
      <c r="C21" s="17">
        <f>B21*v2s</f>
        <v/>
      </c>
      <c r="D21" s="17">
        <f>C21*s2d</f>
        <v/>
      </c>
      <c r="E21" s="18">
        <f>D21*show_rate</f>
        <v/>
      </c>
      <c r="F21" s="18">
        <f>E21*held2trial</f>
        <v/>
      </c>
      <c r="G21" s="18">
        <f>F21*trial2paid</f>
        <v/>
      </c>
      <c r="H21" s="18">
        <f>G21*mix_1</f>
        <v/>
      </c>
      <c r="I21" s="18">
        <f>G21*mix_2</f>
        <v/>
      </c>
      <c r="J21" s="18">
        <f>G21*mix_3</f>
        <v/>
      </c>
      <c r="K21" s="18">
        <f>K20*(1-churn)+H21</f>
        <v/>
      </c>
      <c r="L21" s="18">
        <f>L20*(1-churn)+I21</f>
        <v/>
      </c>
      <c r="M21" s="18">
        <f>M20*(1-churn)+J21</f>
        <v/>
      </c>
      <c r="N21" s="18">
        <f>SUM(K21:M21)</f>
        <v/>
      </c>
      <c r="O21" s="18">
        <f>O20+G21</f>
        <v/>
      </c>
      <c r="P21" s="19">
        <f>P20*(1-churn)*(1+expansion)+H21*ARPA_1</f>
        <v/>
      </c>
      <c r="Q21" s="19">
        <f>Q20*(1-churn)*(1+expansion)+I21*ARPA_2</f>
        <v/>
      </c>
      <c r="R21" s="19">
        <f>R20*(1-churn)*(1+expansion)+J21*ARPA_3</f>
        <v/>
      </c>
      <c r="S21" s="19">
        <f>SUM(P21:R21)</f>
        <v/>
      </c>
      <c r="T21" s="19">
        <f>B21*cpv+E21*cost_per_demo</f>
        <v/>
      </c>
      <c r="U21" s="19">
        <f>T21/G21</f>
        <v/>
      </c>
    </row>
    <row r="22">
      <c r="A22" s="16" t="n">
        <v>19</v>
      </c>
      <c r="B22" s="17">
        <f>visitors_m1*(1+visitor_growth)^(A22-1)</f>
        <v/>
      </c>
      <c r="C22" s="17">
        <f>B22*v2s</f>
        <v/>
      </c>
      <c r="D22" s="17">
        <f>C22*s2d</f>
        <v/>
      </c>
      <c r="E22" s="18">
        <f>D22*show_rate</f>
        <v/>
      </c>
      <c r="F22" s="18">
        <f>E22*held2trial</f>
        <v/>
      </c>
      <c r="G22" s="18">
        <f>F22*trial2paid</f>
        <v/>
      </c>
      <c r="H22" s="18">
        <f>G22*mix_1</f>
        <v/>
      </c>
      <c r="I22" s="18">
        <f>G22*mix_2</f>
        <v/>
      </c>
      <c r="J22" s="18">
        <f>G22*mix_3</f>
        <v/>
      </c>
      <c r="K22" s="18">
        <f>K21*(1-churn)+H22</f>
        <v/>
      </c>
      <c r="L22" s="18">
        <f>L21*(1-churn)+I22</f>
        <v/>
      </c>
      <c r="M22" s="18">
        <f>M21*(1-churn)+J22</f>
        <v/>
      </c>
      <c r="N22" s="18">
        <f>SUM(K22:M22)</f>
        <v/>
      </c>
      <c r="O22" s="18">
        <f>O21+G22</f>
        <v/>
      </c>
      <c r="P22" s="19">
        <f>P21*(1-churn)*(1+expansion)+H22*ARPA_1</f>
        <v/>
      </c>
      <c r="Q22" s="19">
        <f>Q21*(1-churn)*(1+expansion)+I22*ARPA_2</f>
        <v/>
      </c>
      <c r="R22" s="19">
        <f>R21*(1-churn)*(1+expansion)+J22*ARPA_3</f>
        <v/>
      </c>
      <c r="S22" s="19">
        <f>SUM(P22:R22)</f>
        <v/>
      </c>
      <c r="T22" s="19">
        <f>B22*cpv+E22*cost_per_demo</f>
        <v/>
      </c>
      <c r="U22" s="19">
        <f>T22/G22</f>
        <v/>
      </c>
    </row>
    <row r="23">
      <c r="A23" s="16" t="n">
        <v>20</v>
      </c>
      <c r="B23" s="17">
        <f>visitors_m1*(1+visitor_growth)^(A23-1)</f>
        <v/>
      </c>
      <c r="C23" s="17">
        <f>B23*v2s</f>
        <v/>
      </c>
      <c r="D23" s="17">
        <f>C23*s2d</f>
        <v/>
      </c>
      <c r="E23" s="18">
        <f>D23*show_rate</f>
        <v/>
      </c>
      <c r="F23" s="18">
        <f>E23*held2trial</f>
        <v/>
      </c>
      <c r="G23" s="18">
        <f>F23*trial2paid</f>
        <v/>
      </c>
      <c r="H23" s="18">
        <f>G23*mix_1</f>
        <v/>
      </c>
      <c r="I23" s="18">
        <f>G23*mix_2</f>
        <v/>
      </c>
      <c r="J23" s="18">
        <f>G23*mix_3</f>
        <v/>
      </c>
      <c r="K23" s="18">
        <f>K22*(1-churn)+H23</f>
        <v/>
      </c>
      <c r="L23" s="18">
        <f>L22*(1-churn)+I23</f>
        <v/>
      </c>
      <c r="M23" s="18">
        <f>M22*(1-churn)+J23</f>
        <v/>
      </c>
      <c r="N23" s="18">
        <f>SUM(K23:M23)</f>
        <v/>
      </c>
      <c r="O23" s="18">
        <f>O22+G23</f>
        <v/>
      </c>
      <c r="P23" s="19">
        <f>P22*(1-churn)*(1+expansion)+H23*ARPA_1</f>
        <v/>
      </c>
      <c r="Q23" s="19">
        <f>Q22*(1-churn)*(1+expansion)+I23*ARPA_2</f>
        <v/>
      </c>
      <c r="R23" s="19">
        <f>R22*(1-churn)*(1+expansion)+J23*ARPA_3</f>
        <v/>
      </c>
      <c r="S23" s="19">
        <f>SUM(P23:R23)</f>
        <v/>
      </c>
      <c r="T23" s="19">
        <f>B23*cpv+E23*cost_per_demo</f>
        <v/>
      </c>
      <c r="U23" s="19">
        <f>T23/G23</f>
        <v/>
      </c>
    </row>
    <row r="24">
      <c r="A24" s="16" t="n">
        <v>21</v>
      </c>
      <c r="B24" s="17">
        <f>visitors_m1*(1+visitor_growth)^(A24-1)</f>
        <v/>
      </c>
      <c r="C24" s="17">
        <f>B24*v2s</f>
        <v/>
      </c>
      <c r="D24" s="17">
        <f>C24*s2d</f>
        <v/>
      </c>
      <c r="E24" s="18">
        <f>D24*show_rate</f>
        <v/>
      </c>
      <c r="F24" s="18">
        <f>E24*held2trial</f>
        <v/>
      </c>
      <c r="G24" s="18">
        <f>F24*trial2paid</f>
        <v/>
      </c>
      <c r="H24" s="18">
        <f>G24*mix_1</f>
        <v/>
      </c>
      <c r="I24" s="18">
        <f>G24*mix_2</f>
        <v/>
      </c>
      <c r="J24" s="18">
        <f>G24*mix_3</f>
        <v/>
      </c>
      <c r="K24" s="18">
        <f>K23*(1-churn)+H24</f>
        <v/>
      </c>
      <c r="L24" s="18">
        <f>L23*(1-churn)+I24</f>
        <v/>
      </c>
      <c r="M24" s="18">
        <f>M23*(1-churn)+J24</f>
        <v/>
      </c>
      <c r="N24" s="18">
        <f>SUM(K24:M24)</f>
        <v/>
      </c>
      <c r="O24" s="18">
        <f>O23+G24</f>
        <v/>
      </c>
      <c r="P24" s="19">
        <f>P23*(1-churn)*(1+expansion)+H24*ARPA_1</f>
        <v/>
      </c>
      <c r="Q24" s="19">
        <f>Q23*(1-churn)*(1+expansion)+I24*ARPA_2</f>
        <v/>
      </c>
      <c r="R24" s="19">
        <f>R23*(1-churn)*(1+expansion)+J24*ARPA_3</f>
        <v/>
      </c>
      <c r="S24" s="19">
        <f>SUM(P24:R24)</f>
        <v/>
      </c>
      <c r="T24" s="19">
        <f>B24*cpv+E24*cost_per_demo</f>
        <v/>
      </c>
      <c r="U24" s="19">
        <f>T24/G24</f>
        <v/>
      </c>
    </row>
    <row r="25">
      <c r="A25" s="16" t="n">
        <v>22</v>
      </c>
      <c r="B25" s="17">
        <f>visitors_m1*(1+visitor_growth)^(A25-1)</f>
        <v/>
      </c>
      <c r="C25" s="17">
        <f>B25*v2s</f>
        <v/>
      </c>
      <c r="D25" s="17">
        <f>C25*s2d</f>
        <v/>
      </c>
      <c r="E25" s="18">
        <f>D25*show_rate</f>
        <v/>
      </c>
      <c r="F25" s="18">
        <f>E25*held2trial</f>
        <v/>
      </c>
      <c r="G25" s="18">
        <f>F25*trial2paid</f>
        <v/>
      </c>
      <c r="H25" s="18">
        <f>G25*mix_1</f>
        <v/>
      </c>
      <c r="I25" s="18">
        <f>G25*mix_2</f>
        <v/>
      </c>
      <c r="J25" s="18">
        <f>G25*mix_3</f>
        <v/>
      </c>
      <c r="K25" s="18">
        <f>K24*(1-churn)+H25</f>
        <v/>
      </c>
      <c r="L25" s="18">
        <f>L24*(1-churn)+I25</f>
        <v/>
      </c>
      <c r="M25" s="18">
        <f>M24*(1-churn)+J25</f>
        <v/>
      </c>
      <c r="N25" s="18">
        <f>SUM(K25:M25)</f>
        <v/>
      </c>
      <c r="O25" s="18">
        <f>O24+G25</f>
        <v/>
      </c>
      <c r="P25" s="19">
        <f>P24*(1-churn)*(1+expansion)+H25*ARPA_1</f>
        <v/>
      </c>
      <c r="Q25" s="19">
        <f>Q24*(1-churn)*(1+expansion)+I25*ARPA_2</f>
        <v/>
      </c>
      <c r="R25" s="19">
        <f>R24*(1-churn)*(1+expansion)+J25*ARPA_3</f>
        <v/>
      </c>
      <c r="S25" s="19">
        <f>SUM(P25:R25)</f>
        <v/>
      </c>
      <c r="T25" s="19">
        <f>B25*cpv+E25*cost_per_demo</f>
        <v/>
      </c>
      <c r="U25" s="19">
        <f>T25/G25</f>
        <v/>
      </c>
    </row>
    <row r="26">
      <c r="A26" s="16" t="n">
        <v>23</v>
      </c>
      <c r="B26" s="17">
        <f>visitors_m1*(1+visitor_growth)^(A26-1)</f>
        <v/>
      </c>
      <c r="C26" s="17">
        <f>B26*v2s</f>
        <v/>
      </c>
      <c r="D26" s="17">
        <f>C26*s2d</f>
        <v/>
      </c>
      <c r="E26" s="18">
        <f>D26*show_rate</f>
        <v/>
      </c>
      <c r="F26" s="18">
        <f>E26*held2trial</f>
        <v/>
      </c>
      <c r="G26" s="18">
        <f>F26*trial2paid</f>
        <v/>
      </c>
      <c r="H26" s="18">
        <f>G26*mix_1</f>
        <v/>
      </c>
      <c r="I26" s="18">
        <f>G26*mix_2</f>
        <v/>
      </c>
      <c r="J26" s="18">
        <f>G26*mix_3</f>
        <v/>
      </c>
      <c r="K26" s="18">
        <f>K25*(1-churn)+H26</f>
        <v/>
      </c>
      <c r="L26" s="18">
        <f>L25*(1-churn)+I26</f>
        <v/>
      </c>
      <c r="M26" s="18">
        <f>M25*(1-churn)+J26</f>
        <v/>
      </c>
      <c r="N26" s="18">
        <f>SUM(K26:M26)</f>
        <v/>
      </c>
      <c r="O26" s="18">
        <f>O25+G26</f>
        <v/>
      </c>
      <c r="P26" s="19">
        <f>P25*(1-churn)*(1+expansion)+H26*ARPA_1</f>
        <v/>
      </c>
      <c r="Q26" s="19">
        <f>Q25*(1-churn)*(1+expansion)+I26*ARPA_2</f>
        <v/>
      </c>
      <c r="R26" s="19">
        <f>R25*(1-churn)*(1+expansion)+J26*ARPA_3</f>
        <v/>
      </c>
      <c r="S26" s="19">
        <f>SUM(P26:R26)</f>
        <v/>
      </c>
      <c r="T26" s="19">
        <f>B26*cpv+E26*cost_per_demo</f>
        <v/>
      </c>
      <c r="U26" s="19">
        <f>T26/G26</f>
        <v/>
      </c>
    </row>
    <row r="27">
      <c r="A27" s="16" t="n">
        <v>24</v>
      </c>
      <c r="B27" s="17">
        <f>visitors_m1*(1+visitor_growth)^(A27-1)</f>
        <v/>
      </c>
      <c r="C27" s="17">
        <f>B27*v2s</f>
        <v/>
      </c>
      <c r="D27" s="17">
        <f>C27*s2d</f>
        <v/>
      </c>
      <c r="E27" s="18">
        <f>D27*show_rate</f>
        <v/>
      </c>
      <c r="F27" s="18">
        <f>E27*held2trial</f>
        <v/>
      </c>
      <c r="G27" s="18">
        <f>F27*trial2paid</f>
        <v/>
      </c>
      <c r="H27" s="18">
        <f>G27*mix_1</f>
        <v/>
      </c>
      <c r="I27" s="18">
        <f>G27*mix_2</f>
        <v/>
      </c>
      <c r="J27" s="18">
        <f>G27*mix_3</f>
        <v/>
      </c>
      <c r="K27" s="18">
        <f>K26*(1-churn)+H27</f>
        <v/>
      </c>
      <c r="L27" s="18">
        <f>L26*(1-churn)+I27</f>
        <v/>
      </c>
      <c r="M27" s="18">
        <f>M26*(1-churn)+J27</f>
        <v/>
      </c>
      <c r="N27" s="18">
        <f>SUM(K27:M27)</f>
        <v/>
      </c>
      <c r="O27" s="18">
        <f>O26+G27</f>
        <v/>
      </c>
      <c r="P27" s="19">
        <f>P26*(1-churn)*(1+expansion)+H27*ARPA_1</f>
        <v/>
      </c>
      <c r="Q27" s="19">
        <f>Q26*(1-churn)*(1+expansion)+I27*ARPA_2</f>
        <v/>
      </c>
      <c r="R27" s="19">
        <f>R26*(1-churn)*(1+expansion)+J27*ARPA_3</f>
        <v/>
      </c>
      <c r="S27" s="19">
        <f>SUM(P27:R27)</f>
        <v/>
      </c>
      <c r="T27" s="19">
        <f>B27*cpv+E27*cost_per_demo</f>
        <v/>
      </c>
      <c r="U27" s="19">
        <f>T27/G27</f>
        <v/>
      </c>
    </row>
    <row r="28">
      <c r="A28" s="2" t="inlineStr">
        <is>
          <t>Total</t>
        </is>
      </c>
      <c r="B28" s="20">
        <f>SUM(B4:B27)</f>
        <v/>
      </c>
      <c r="C28" s="20">
        <f>SUM(C4:C27)</f>
        <v/>
      </c>
      <c r="D28" s="20">
        <f>SUM(D4:D27)</f>
        <v/>
      </c>
      <c r="E28" s="20">
        <f>SUM(E4:E27)</f>
        <v/>
      </c>
      <c r="F28" s="20">
        <f>SUM(F4:F27)</f>
        <v/>
      </c>
      <c r="G28" s="20">
        <f>SUM(G4:G27)</f>
        <v/>
      </c>
      <c r="H28" s="20">
        <f>SUM(H4:H27)</f>
        <v/>
      </c>
      <c r="I28" s="20">
        <f>SUM(I4:I27)</f>
        <v/>
      </c>
      <c r="J28" s="20">
        <f>SUM(J4:J27)</f>
        <v/>
      </c>
      <c r="T28" s="21">
        <f>SUM(T4:T27)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6" customWidth="1" min="3" max="3"/>
    <col width="12" customWidth="1" min="4" max="4"/>
    <col width="12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Unit economics (active scenario)</t>
        </is>
      </c>
    </row>
    <row r="2">
      <c r="A2">
        <f>"Scenario: "&amp;Scenarios!C3</f>
        <v/>
      </c>
    </row>
    <row r="4">
      <c r="A4" s="4" t="inlineStr">
        <is>
          <t>Segment</t>
        </is>
      </c>
      <c r="B4" s="4" t="inlineStr">
        <is>
          <t>Mix</t>
        </is>
      </c>
      <c r="C4" s="4" t="inlineStr">
        <is>
          <t>Avg headcount</t>
        </is>
      </c>
      <c r="D4" s="4" t="inlineStr">
        <is>
          <t>List PEPM</t>
        </is>
      </c>
      <c r="E4" s="4" t="inlineStr">
        <is>
          <t>Net PEPM</t>
        </is>
      </c>
      <c r="F4" s="4" t="inlineStr">
        <is>
          <t>ARPA (₹/month)</t>
        </is>
      </c>
      <c r="G4" s="4" t="inlineStr">
        <is>
          <t>LTV (₹)</t>
        </is>
      </c>
      <c r="H4" s="4" t="inlineStr">
        <is>
          <t>LTV:CAC</t>
        </is>
      </c>
    </row>
    <row r="5">
      <c r="A5" t="inlineStr">
        <is>
          <t>10-25 employees</t>
        </is>
      </c>
      <c r="B5" s="9">
        <f>mix_1</f>
        <v/>
      </c>
      <c r="C5">
        <f>hc_1</f>
        <v/>
      </c>
      <c r="D5" s="19">
        <f>list_pepm_1</f>
        <v/>
      </c>
      <c r="E5" s="19">
        <f>D5*(1-discount)</f>
        <v/>
      </c>
      <c r="F5" s="19">
        <f>E5*C5</f>
        <v/>
      </c>
      <c r="G5" s="19">
        <f>F5*gm*Lifetime_months</f>
        <v/>
      </c>
      <c r="H5" s="22">
        <f>G5/CAC</f>
        <v/>
      </c>
    </row>
    <row r="6">
      <c r="A6" t="inlineStr">
        <is>
          <t>26-100 employees</t>
        </is>
      </c>
      <c r="B6" s="9">
        <f>mix_2</f>
        <v/>
      </c>
      <c r="C6">
        <f>hc_2</f>
        <v/>
      </c>
      <c r="D6" s="19">
        <f>list_pepm_2</f>
        <v/>
      </c>
      <c r="E6" s="19">
        <f>D6*(1-discount)</f>
        <v/>
      </c>
      <c r="F6" s="19">
        <f>E6*C6</f>
        <v/>
      </c>
      <c r="G6" s="19">
        <f>F6*gm*Lifetime_months</f>
        <v/>
      </c>
      <c r="H6" s="22">
        <f>G6/CAC</f>
        <v/>
      </c>
    </row>
    <row r="7">
      <c r="A7" t="inlineStr">
        <is>
          <t>101-500 employees</t>
        </is>
      </c>
      <c r="B7" s="9">
        <f>mix_3</f>
        <v/>
      </c>
      <c r="C7">
        <f>hc_3</f>
        <v/>
      </c>
      <c r="D7" s="19">
        <f>list_pepm_3</f>
        <v/>
      </c>
      <c r="E7" s="19">
        <f>D7*(1-discount)</f>
        <v/>
      </c>
      <c r="F7" s="19">
        <f>E7*C7</f>
        <v/>
      </c>
      <c r="G7" s="19">
        <f>F7*gm*Lifetime_months</f>
        <v/>
      </c>
      <c r="H7" s="22">
        <f>G7/CAC</f>
        <v/>
      </c>
    </row>
    <row r="8">
      <c r="A8" s="23" t="inlineStr">
        <is>
          <t>Segment LTV:CAC uses one blended CAC; larger accounts likely cost more to win, so read it as an upper bound for 101-500.</t>
        </is>
      </c>
    </row>
    <row r="10">
      <c r="A10" s="4" t="inlineStr">
        <is>
          <t>Metric</t>
        </is>
      </c>
      <c r="B10" s="4" t="inlineStr">
        <is>
          <t>Value</t>
        </is>
      </c>
      <c r="C10" s="4" t="inlineStr">
        <is>
          <t>Formula logic</t>
        </is>
      </c>
    </row>
    <row r="11">
      <c r="A11" t="inlineStr">
        <is>
          <t>Blended ARPA (new customer)</t>
        </is>
      </c>
      <c r="B11" s="19">
        <f>SUMPRODUCT(B5:B7,F5:F7)</f>
        <v/>
      </c>
      <c r="C11" t="inlineStr">
        <is>
          <t>Mix-weighted ARPA</t>
        </is>
      </c>
    </row>
    <row r="12">
      <c r="A12" t="inlineStr">
        <is>
          <t>Gross profit per account per month</t>
        </is>
      </c>
      <c r="B12" s="19">
        <f>ARPA*gm</f>
        <v/>
      </c>
      <c r="C12" t="inlineStr">
        <is>
          <t>ARPA x gross margin</t>
        </is>
      </c>
    </row>
    <row r="13">
      <c r="A13" t="inlineStr">
        <is>
          <t>Visitor to paid</t>
        </is>
      </c>
      <c r="B13" s="24">
        <f>v2s*s2d*show_rate*held2trial*trial2paid</f>
        <v/>
      </c>
      <c r="C13" t="inlineStr">
        <is>
          <t>Product of funnel rates</t>
        </is>
      </c>
    </row>
    <row r="14">
      <c r="A14" t="inlineStr">
        <is>
          <t>Demo held to paid</t>
        </is>
      </c>
      <c r="B14" s="14">
        <f>held2trial*trial2paid</f>
        <v/>
      </c>
      <c r="C14" t="inlineStr">
        <is>
          <t>Held to trial x trial to paid</t>
        </is>
      </c>
    </row>
    <row r="15">
      <c r="A15" t="inlineStr">
        <is>
          <t>S&amp;M cost per visitor</t>
        </is>
      </c>
      <c r="B15" s="25">
        <f>cpv+v2s*s2d*show_rate*cost_per_demo</f>
        <v/>
      </c>
      <c r="C15" t="inlineStr">
        <is>
          <t>Marketing per visitor + sales cost of demos per visitor</t>
        </is>
      </c>
    </row>
    <row r="16">
      <c r="A16" t="inlineStr">
        <is>
          <t>Blended CAC</t>
        </is>
      </c>
      <c r="B16" s="19">
        <f>cost_per_visitor/conv_v2p</f>
        <v/>
      </c>
      <c r="C16" t="inlineStr">
        <is>
          <t>S&amp;M cost per visitor / visitor-to-paid</t>
        </is>
      </c>
    </row>
    <row r="17">
      <c r="A17" t="inlineStr">
        <is>
          <t>Check: 24-month S&amp;M / new customers</t>
        </is>
      </c>
      <c r="B17" s="19">
        <f>Funnel!T28/Funnel!G28</f>
        <v/>
      </c>
      <c r="C17" t="inlineStr">
        <is>
          <t>Must equal blended CAC</t>
        </is>
      </c>
    </row>
    <row r="18">
      <c r="A18" t="inlineStr">
        <is>
          <t>Monthly revenue retention factor</t>
        </is>
      </c>
      <c r="B18" s="26">
        <f>(1-churn)*(1+expansion)</f>
        <v/>
      </c>
      <c r="C18" t="inlineStr">
        <is>
          <t>(1 - churn) x (1 + expansion)</t>
        </is>
      </c>
    </row>
    <row r="19">
      <c r="A19" t="inlineStr">
        <is>
          <t>Expected paying months (capped)</t>
        </is>
      </c>
      <c r="B19" s="22">
        <f>IF(ABS(1-r_month)&lt;0.000000001,horizon,(1-r_month^horizon)/(1-r_month))</f>
        <v/>
      </c>
      <c r="C19" t="inlineStr">
        <is>
          <t>Sum of r^t for t = 0 to horizon - 1</t>
        </is>
      </c>
    </row>
    <row r="20">
      <c r="A20" t="inlineStr">
        <is>
          <t>LTV (with expansion, capped)</t>
        </is>
      </c>
      <c r="B20" s="19">
        <f>GP_acct*Lifetime_months</f>
        <v/>
      </c>
      <c r="C20" t="inlineStr">
        <is>
          <t>Headline LTV</t>
        </is>
      </c>
    </row>
    <row r="21">
      <c r="A21" t="inlineStr">
        <is>
          <t>LTV:CAC</t>
        </is>
      </c>
      <c r="B21" s="27">
        <f>LTV/CAC</f>
        <v/>
      </c>
      <c r="C21" t="inlineStr">
        <is>
          <t>Headline ratio</t>
        </is>
      </c>
    </row>
    <row r="22">
      <c r="A22" t="inlineStr">
        <is>
          <t>LTV, simple (GP / churn, no expansion, no cap)</t>
        </is>
      </c>
      <c r="B22" s="19">
        <f>GP_acct/churn</f>
        <v/>
      </c>
      <c r="C22" t="inlineStr">
        <is>
          <t>Textbook formula, for comparison</t>
        </is>
      </c>
    </row>
    <row r="23">
      <c r="A23" t="inlineStr">
        <is>
          <t>LTV:CAC, simple</t>
        </is>
      </c>
      <c r="B23" s="27">
        <f>LTV_simple/CAC</f>
        <v/>
      </c>
      <c r="C23" t="inlineStr">
        <is>
          <t>For comparison</t>
        </is>
      </c>
    </row>
    <row r="24">
      <c r="A24" t="inlineStr">
        <is>
          <t>CAC payback</t>
        </is>
      </c>
      <c r="B24" s="22">
        <f>CAC/GP_acct</f>
        <v/>
      </c>
      <c r="C24" t="inlineStr">
        <is>
          <t>Months of gross profit to recover CAC</t>
        </is>
      </c>
    </row>
    <row r="25">
      <c r="A25" t="inlineStr">
        <is>
          <t>12-month net revenue retention</t>
        </is>
      </c>
      <c r="B25" s="9">
        <f>r_month^12</f>
        <v/>
      </c>
      <c r="C25" t="inlineStr">
        <is>
          <t>Cohort revenue after 12 months, incl. churn and expansion</t>
        </is>
      </c>
    </row>
    <row r="26">
      <c r="A26" t="inlineStr">
        <is>
          <t>12-month gross revenue retention</t>
        </is>
      </c>
      <c r="B26" s="9">
        <f>(1-churn)^12</f>
        <v/>
      </c>
      <c r="C26" t="inlineStr">
        <is>
          <t>Churn only</t>
        </is>
      </c>
    </row>
    <row r="27">
      <c r="A27" t="inlineStr">
        <is>
          <t>MRR in month 24</t>
        </is>
      </c>
      <c r="B27" s="19">
        <f>Funnel!S27</f>
        <v/>
      </c>
      <c r="C27" t="inlineStr">
        <is>
          <t>From Funnel</t>
        </is>
      </c>
    </row>
    <row r="28">
      <c r="A28" t="inlineStr">
        <is>
          <t>Active customers in month 24</t>
        </is>
      </c>
      <c r="B28" s="17">
        <f>Funnel!N27</f>
        <v/>
      </c>
      <c r="C28" t="inlineStr">
        <is>
          <t>From Funnel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Sensitivity (active scenario)</t>
        </is>
      </c>
    </row>
    <row r="3">
      <c r="A3" s="2" t="inlineStr">
        <is>
          <t>1. LTV:CAC by monthly churn (rows) and demo held-to-paid conversion (columns). Other inputs as in the active scenario. Blue axis values can be edited.</t>
        </is>
      </c>
    </row>
    <row r="5">
      <c r="A5" s="2" t="inlineStr">
        <is>
          <t>Churn / held-to-paid</t>
        </is>
      </c>
      <c r="B5" s="28" t="n">
        <v>0.06</v>
      </c>
      <c r="C5" s="28" t="n">
        <v>0.08</v>
      </c>
      <c r="D5" s="28" t="n">
        <v>0.1</v>
      </c>
      <c r="E5" s="28" t="n">
        <v>0.12</v>
      </c>
      <c r="F5" s="28" t="n">
        <v>0.14</v>
      </c>
      <c r="G5" s="28" t="n">
        <v>0.16</v>
      </c>
      <c r="H5" s="28" t="n">
        <v>0.18</v>
      </c>
      <c r="I5" s="28" t="n">
        <v>0.2</v>
      </c>
      <c r="J5" s="28" t="n">
        <v>0.25</v>
      </c>
      <c r="K5" s="28" t="n">
        <v>0.3</v>
      </c>
    </row>
    <row r="6">
      <c r="A6" s="29" t="n">
        <v>0.015</v>
      </c>
      <c r="B6" s="22">
        <f>GP_acct*IF(ABS(1-((1-$A6)*(1+expansion)))&lt;0.000000001,horizon,(1-((1-$A6)*(1+expansion))^horizon)/(1-((1-$A6)*(1+expansion))))/(cost_per_visitor/(v2s*s2d*show_rate*B$5))</f>
        <v/>
      </c>
      <c r="C6" s="22">
        <f>GP_acct*IF(ABS(1-((1-$A6)*(1+expansion)))&lt;0.000000001,horizon,(1-((1-$A6)*(1+expansion))^horizon)/(1-((1-$A6)*(1+expansion))))/(cost_per_visitor/(v2s*s2d*show_rate*C$5))</f>
        <v/>
      </c>
      <c r="D6" s="22">
        <f>GP_acct*IF(ABS(1-((1-$A6)*(1+expansion)))&lt;0.000000001,horizon,(1-((1-$A6)*(1+expansion))^horizon)/(1-((1-$A6)*(1+expansion))))/(cost_per_visitor/(v2s*s2d*show_rate*D$5))</f>
        <v/>
      </c>
      <c r="E6" s="22">
        <f>GP_acct*IF(ABS(1-((1-$A6)*(1+expansion)))&lt;0.000000001,horizon,(1-((1-$A6)*(1+expansion))^horizon)/(1-((1-$A6)*(1+expansion))))/(cost_per_visitor/(v2s*s2d*show_rate*E$5))</f>
        <v/>
      </c>
      <c r="F6" s="22">
        <f>GP_acct*IF(ABS(1-((1-$A6)*(1+expansion)))&lt;0.000000001,horizon,(1-((1-$A6)*(1+expansion))^horizon)/(1-((1-$A6)*(1+expansion))))/(cost_per_visitor/(v2s*s2d*show_rate*F$5))</f>
        <v/>
      </c>
      <c r="G6" s="22">
        <f>GP_acct*IF(ABS(1-((1-$A6)*(1+expansion)))&lt;0.000000001,horizon,(1-((1-$A6)*(1+expansion))^horizon)/(1-((1-$A6)*(1+expansion))))/(cost_per_visitor/(v2s*s2d*show_rate*G$5))</f>
        <v/>
      </c>
      <c r="H6" s="22">
        <f>GP_acct*IF(ABS(1-((1-$A6)*(1+expansion)))&lt;0.000000001,horizon,(1-((1-$A6)*(1+expansion))^horizon)/(1-((1-$A6)*(1+expansion))))/(cost_per_visitor/(v2s*s2d*show_rate*H$5))</f>
        <v/>
      </c>
      <c r="I6" s="22">
        <f>GP_acct*IF(ABS(1-((1-$A6)*(1+expansion)))&lt;0.000000001,horizon,(1-((1-$A6)*(1+expansion))^horizon)/(1-((1-$A6)*(1+expansion))))/(cost_per_visitor/(v2s*s2d*show_rate*I$5))</f>
        <v/>
      </c>
      <c r="J6" s="22">
        <f>GP_acct*IF(ABS(1-((1-$A6)*(1+expansion)))&lt;0.000000001,horizon,(1-((1-$A6)*(1+expansion))^horizon)/(1-((1-$A6)*(1+expansion))))/(cost_per_visitor/(v2s*s2d*show_rate*J$5))</f>
        <v/>
      </c>
      <c r="K6" s="22">
        <f>GP_acct*IF(ABS(1-((1-$A6)*(1+expansion)))&lt;0.000000001,horizon,(1-((1-$A6)*(1+expansion))^horizon)/(1-((1-$A6)*(1+expansion))))/(cost_per_visitor/(v2s*s2d*show_rate*K$5))</f>
        <v/>
      </c>
    </row>
    <row r="7">
      <c r="A7" s="29" t="n">
        <v>0.02</v>
      </c>
      <c r="B7" s="22">
        <f>GP_acct*IF(ABS(1-((1-$A7)*(1+expansion)))&lt;0.000000001,horizon,(1-((1-$A7)*(1+expansion))^horizon)/(1-((1-$A7)*(1+expansion))))/(cost_per_visitor/(v2s*s2d*show_rate*B$5))</f>
        <v/>
      </c>
      <c r="C7" s="22">
        <f>GP_acct*IF(ABS(1-((1-$A7)*(1+expansion)))&lt;0.000000001,horizon,(1-((1-$A7)*(1+expansion))^horizon)/(1-((1-$A7)*(1+expansion))))/(cost_per_visitor/(v2s*s2d*show_rate*C$5))</f>
        <v/>
      </c>
      <c r="D7" s="22">
        <f>GP_acct*IF(ABS(1-((1-$A7)*(1+expansion)))&lt;0.000000001,horizon,(1-((1-$A7)*(1+expansion))^horizon)/(1-((1-$A7)*(1+expansion))))/(cost_per_visitor/(v2s*s2d*show_rate*D$5))</f>
        <v/>
      </c>
      <c r="E7" s="22">
        <f>GP_acct*IF(ABS(1-((1-$A7)*(1+expansion)))&lt;0.000000001,horizon,(1-((1-$A7)*(1+expansion))^horizon)/(1-((1-$A7)*(1+expansion))))/(cost_per_visitor/(v2s*s2d*show_rate*E$5))</f>
        <v/>
      </c>
      <c r="F7" s="22">
        <f>GP_acct*IF(ABS(1-((1-$A7)*(1+expansion)))&lt;0.000000001,horizon,(1-((1-$A7)*(1+expansion))^horizon)/(1-((1-$A7)*(1+expansion))))/(cost_per_visitor/(v2s*s2d*show_rate*F$5))</f>
        <v/>
      </c>
      <c r="G7" s="22">
        <f>GP_acct*IF(ABS(1-((1-$A7)*(1+expansion)))&lt;0.000000001,horizon,(1-((1-$A7)*(1+expansion))^horizon)/(1-((1-$A7)*(1+expansion))))/(cost_per_visitor/(v2s*s2d*show_rate*G$5))</f>
        <v/>
      </c>
      <c r="H7" s="22">
        <f>GP_acct*IF(ABS(1-((1-$A7)*(1+expansion)))&lt;0.000000001,horizon,(1-((1-$A7)*(1+expansion))^horizon)/(1-((1-$A7)*(1+expansion))))/(cost_per_visitor/(v2s*s2d*show_rate*H$5))</f>
        <v/>
      </c>
      <c r="I7" s="22">
        <f>GP_acct*IF(ABS(1-((1-$A7)*(1+expansion)))&lt;0.000000001,horizon,(1-((1-$A7)*(1+expansion))^horizon)/(1-((1-$A7)*(1+expansion))))/(cost_per_visitor/(v2s*s2d*show_rate*I$5))</f>
        <v/>
      </c>
      <c r="J7" s="22">
        <f>GP_acct*IF(ABS(1-((1-$A7)*(1+expansion)))&lt;0.000000001,horizon,(1-((1-$A7)*(1+expansion))^horizon)/(1-((1-$A7)*(1+expansion))))/(cost_per_visitor/(v2s*s2d*show_rate*J$5))</f>
        <v/>
      </c>
      <c r="K7" s="22">
        <f>GP_acct*IF(ABS(1-((1-$A7)*(1+expansion)))&lt;0.000000001,horizon,(1-((1-$A7)*(1+expansion))^horizon)/(1-((1-$A7)*(1+expansion))))/(cost_per_visitor/(v2s*s2d*show_rate*K$5))</f>
        <v/>
      </c>
    </row>
    <row r="8">
      <c r="A8" s="29" t="n">
        <v>0.025</v>
      </c>
      <c r="B8" s="22">
        <f>GP_acct*IF(ABS(1-((1-$A8)*(1+expansion)))&lt;0.000000001,horizon,(1-((1-$A8)*(1+expansion))^horizon)/(1-((1-$A8)*(1+expansion))))/(cost_per_visitor/(v2s*s2d*show_rate*B$5))</f>
        <v/>
      </c>
      <c r="C8" s="22">
        <f>GP_acct*IF(ABS(1-((1-$A8)*(1+expansion)))&lt;0.000000001,horizon,(1-((1-$A8)*(1+expansion))^horizon)/(1-((1-$A8)*(1+expansion))))/(cost_per_visitor/(v2s*s2d*show_rate*C$5))</f>
        <v/>
      </c>
      <c r="D8" s="22">
        <f>GP_acct*IF(ABS(1-((1-$A8)*(1+expansion)))&lt;0.000000001,horizon,(1-((1-$A8)*(1+expansion))^horizon)/(1-((1-$A8)*(1+expansion))))/(cost_per_visitor/(v2s*s2d*show_rate*D$5))</f>
        <v/>
      </c>
      <c r="E8" s="22">
        <f>GP_acct*IF(ABS(1-((1-$A8)*(1+expansion)))&lt;0.000000001,horizon,(1-((1-$A8)*(1+expansion))^horizon)/(1-((1-$A8)*(1+expansion))))/(cost_per_visitor/(v2s*s2d*show_rate*E$5))</f>
        <v/>
      </c>
      <c r="F8" s="22">
        <f>GP_acct*IF(ABS(1-((1-$A8)*(1+expansion)))&lt;0.000000001,horizon,(1-((1-$A8)*(1+expansion))^horizon)/(1-((1-$A8)*(1+expansion))))/(cost_per_visitor/(v2s*s2d*show_rate*F$5))</f>
        <v/>
      </c>
      <c r="G8" s="22">
        <f>GP_acct*IF(ABS(1-((1-$A8)*(1+expansion)))&lt;0.000000001,horizon,(1-((1-$A8)*(1+expansion))^horizon)/(1-((1-$A8)*(1+expansion))))/(cost_per_visitor/(v2s*s2d*show_rate*G$5))</f>
        <v/>
      </c>
      <c r="H8" s="22">
        <f>GP_acct*IF(ABS(1-((1-$A8)*(1+expansion)))&lt;0.000000001,horizon,(1-((1-$A8)*(1+expansion))^horizon)/(1-((1-$A8)*(1+expansion))))/(cost_per_visitor/(v2s*s2d*show_rate*H$5))</f>
        <v/>
      </c>
      <c r="I8" s="22">
        <f>GP_acct*IF(ABS(1-((1-$A8)*(1+expansion)))&lt;0.000000001,horizon,(1-((1-$A8)*(1+expansion))^horizon)/(1-((1-$A8)*(1+expansion))))/(cost_per_visitor/(v2s*s2d*show_rate*I$5))</f>
        <v/>
      </c>
      <c r="J8" s="22">
        <f>GP_acct*IF(ABS(1-((1-$A8)*(1+expansion)))&lt;0.000000001,horizon,(1-((1-$A8)*(1+expansion))^horizon)/(1-((1-$A8)*(1+expansion))))/(cost_per_visitor/(v2s*s2d*show_rate*J$5))</f>
        <v/>
      </c>
      <c r="K8" s="22">
        <f>GP_acct*IF(ABS(1-((1-$A8)*(1+expansion)))&lt;0.000000001,horizon,(1-((1-$A8)*(1+expansion))^horizon)/(1-((1-$A8)*(1+expansion))))/(cost_per_visitor/(v2s*s2d*show_rate*K$5))</f>
        <v/>
      </c>
    </row>
    <row r="9">
      <c r="A9" s="29" t="n">
        <v>0.03</v>
      </c>
      <c r="B9" s="22">
        <f>GP_acct*IF(ABS(1-((1-$A9)*(1+expansion)))&lt;0.000000001,horizon,(1-((1-$A9)*(1+expansion))^horizon)/(1-((1-$A9)*(1+expansion))))/(cost_per_visitor/(v2s*s2d*show_rate*B$5))</f>
        <v/>
      </c>
      <c r="C9" s="22">
        <f>GP_acct*IF(ABS(1-((1-$A9)*(1+expansion)))&lt;0.000000001,horizon,(1-((1-$A9)*(1+expansion))^horizon)/(1-((1-$A9)*(1+expansion))))/(cost_per_visitor/(v2s*s2d*show_rate*C$5))</f>
        <v/>
      </c>
      <c r="D9" s="22">
        <f>GP_acct*IF(ABS(1-((1-$A9)*(1+expansion)))&lt;0.000000001,horizon,(1-((1-$A9)*(1+expansion))^horizon)/(1-((1-$A9)*(1+expansion))))/(cost_per_visitor/(v2s*s2d*show_rate*D$5))</f>
        <v/>
      </c>
      <c r="E9" s="22">
        <f>GP_acct*IF(ABS(1-((1-$A9)*(1+expansion)))&lt;0.000000001,horizon,(1-((1-$A9)*(1+expansion))^horizon)/(1-((1-$A9)*(1+expansion))))/(cost_per_visitor/(v2s*s2d*show_rate*E$5))</f>
        <v/>
      </c>
      <c r="F9" s="22">
        <f>GP_acct*IF(ABS(1-((1-$A9)*(1+expansion)))&lt;0.000000001,horizon,(1-((1-$A9)*(1+expansion))^horizon)/(1-((1-$A9)*(1+expansion))))/(cost_per_visitor/(v2s*s2d*show_rate*F$5))</f>
        <v/>
      </c>
      <c r="G9" s="22">
        <f>GP_acct*IF(ABS(1-((1-$A9)*(1+expansion)))&lt;0.000000001,horizon,(1-((1-$A9)*(1+expansion))^horizon)/(1-((1-$A9)*(1+expansion))))/(cost_per_visitor/(v2s*s2d*show_rate*G$5))</f>
        <v/>
      </c>
      <c r="H9" s="22">
        <f>GP_acct*IF(ABS(1-((1-$A9)*(1+expansion)))&lt;0.000000001,horizon,(1-((1-$A9)*(1+expansion))^horizon)/(1-((1-$A9)*(1+expansion))))/(cost_per_visitor/(v2s*s2d*show_rate*H$5))</f>
        <v/>
      </c>
      <c r="I9" s="22">
        <f>GP_acct*IF(ABS(1-((1-$A9)*(1+expansion)))&lt;0.000000001,horizon,(1-((1-$A9)*(1+expansion))^horizon)/(1-((1-$A9)*(1+expansion))))/(cost_per_visitor/(v2s*s2d*show_rate*I$5))</f>
        <v/>
      </c>
      <c r="J9" s="22">
        <f>GP_acct*IF(ABS(1-((1-$A9)*(1+expansion)))&lt;0.000000001,horizon,(1-((1-$A9)*(1+expansion))^horizon)/(1-((1-$A9)*(1+expansion))))/(cost_per_visitor/(v2s*s2d*show_rate*J$5))</f>
        <v/>
      </c>
      <c r="K9" s="22">
        <f>GP_acct*IF(ABS(1-((1-$A9)*(1+expansion)))&lt;0.000000001,horizon,(1-((1-$A9)*(1+expansion))^horizon)/(1-((1-$A9)*(1+expansion))))/(cost_per_visitor/(v2s*s2d*show_rate*K$5))</f>
        <v/>
      </c>
    </row>
    <row r="10">
      <c r="A10" s="29" t="n">
        <v>0.035</v>
      </c>
      <c r="B10" s="22">
        <f>GP_acct*IF(ABS(1-((1-$A10)*(1+expansion)))&lt;0.000000001,horizon,(1-((1-$A10)*(1+expansion))^horizon)/(1-((1-$A10)*(1+expansion))))/(cost_per_visitor/(v2s*s2d*show_rate*B$5))</f>
        <v/>
      </c>
      <c r="C10" s="22">
        <f>GP_acct*IF(ABS(1-((1-$A10)*(1+expansion)))&lt;0.000000001,horizon,(1-((1-$A10)*(1+expansion))^horizon)/(1-((1-$A10)*(1+expansion))))/(cost_per_visitor/(v2s*s2d*show_rate*C$5))</f>
        <v/>
      </c>
      <c r="D10" s="22">
        <f>GP_acct*IF(ABS(1-((1-$A10)*(1+expansion)))&lt;0.000000001,horizon,(1-((1-$A10)*(1+expansion))^horizon)/(1-((1-$A10)*(1+expansion))))/(cost_per_visitor/(v2s*s2d*show_rate*D$5))</f>
        <v/>
      </c>
      <c r="E10" s="22">
        <f>GP_acct*IF(ABS(1-((1-$A10)*(1+expansion)))&lt;0.000000001,horizon,(1-((1-$A10)*(1+expansion))^horizon)/(1-((1-$A10)*(1+expansion))))/(cost_per_visitor/(v2s*s2d*show_rate*E$5))</f>
        <v/>
      </c>
      <c r="F10" s="22">
        <f>GP_acct*IF(ABS(1-((1-$A10)*(1+expansion)))&lt;0.000000001,horizon,(1-((1-$A10)*(1+expansion))^horizon)/(1-((1-$A10)*(1+expansion))))/(cost_per_visitor/(v2s*s2d*show_rate*F$5))</f>
        <v/>
      </c>
      <c r="G10" s="22">
        <f>GP_acct*IF(ABS(1-((1-$A10)*(1+expansion)))&lt;0.000000001,horizon,(1-((1-$A10)*(1+expansion))^horizon)/(1-((1-$A10)*(1+expansion))))/(cost_per_visitor/(v2s*s2d*show_rate*G$5))</f>
        <v/>
      </c>
      <c r="H10" s="22">
        <f>GP_acct*IF(ABS(1-((1-$A10)*(1+expansion)))&lt;0.000000001,horizon,(1-((1-$A10)*(1+expansion))^horizon)/(1-((1-$A10)*(1+expansion))))/(cost_per_visitor/(v2s*s2d*show_rate*H$5))</f>
        <v/>
      </c>
      <c r="I10" s="22">
        <f>GP_acct*IF(ABS(1-((1-$A10)*(1+expansion)))&lt;0.000000001,horizon,(1-((1-$A10)*(1+expansion))^horizon)/(1-((1-$A10)*(1+expansion))))/(cost_per_visitor/(v2s*s2d*show_rate*I$5))</f>
        <v/>
      </c>
      <c r="J10" s="22">
        <f>GP_acct*IF(ABS(1-((1-$A10)*(1+expansion)))&lt;0.000000001,horizon,(1-((1-$A10)*(1+expansion))^horizon)/(1-((1-$A10)*(1+expansion))))/(cost_per_visitor/(v2s*s2d*show_rate*J$5))</f>
        <v/>
      </c>
      <c r="K10" s="22">
        <f>GP_acct*IF(ABS(1-((1-$A10)*(1+expansion)))&lt;0.000000001,horizon,(1-((1-$A10)*(1+expansion))^horizon)/(1-((1-$A10)*(1+expansion))))/(cost_per_visitor/(v2s*s2d*show_rate*K$5))</f>
        <v/>
      </c>
    </row>
    <row r="11">
      <c r="A11" s="29" t="n">
        <v>0.04</v>
      </c>
      <c r="B11" s="22">
        <f>GP_acct*IF(ABS(1-((1-$A11)*(1+expansion)))&lt;0.000000001,horizon,(1-((1-$A11)*(1+expansion))^horizon)/(1-((1-$A11)*(1+expansion))))/(cost_per_visitor/(v2s*s2d*show_rate*B$5))</f>
        <v/>
      </c>
      <c r="C11" s="22">
        <f>GP_acct*IF(ABS(1-((1-$A11)*(1+expansion)))&lt;0.000000001,horizon,(1-((1-$A11)*(1+expansion))^horizon)/(1-((1-$A11)*(1+expansion))))/(cost_per_visitor/(v2s*s2d*show_rate*C$5))</f>
        <v/>
      </c>
      <c r="D11" s="22">
        <f>GP_acct*IF(ABS(1-((1-$A11)*(1+expansion)))&lt;0.000000001,horizon,(1-((1-$A11)*(1+expansion))^horizon)/(1-((1-$A11)*(1+expansion))))/(cost_per_visitor/(v2s*s2d*show_rate*D$5))</f>
        <v/>
      </c>
      <c r="E11" s="22">
        <f>GP_acct*IF(ABS(1-((1-$A11)*(1+expansion)))&lt;0.000000001,horizon,(1-((1-$A11)*(1+expansion))^horizon)/(1-((1-$A11)*(1+expansion))))/(cost_per_visitor/(v2s*s2d*show_rate*E$5))</f>
        <v/>
      </c>
      <c r="F11" s="22">
        <f>GP_acct*IF(ABS(1-((1-$A11)*(1+expansion)))&lt;0.000000001,horizon,(1-((1-$A11)*(1+expansion))^horizon)/(1-((1-$A11)*(1+expansion))))/(cost_per_visitor/(v2s*s2d*show_rate*F$5))</f>
        <v/>
      </c>
      <c r="G11" s="22">
        <f>GP_acct*IF(ABS(1-((1-$A11)*(1+expansion)))&lt;0.000000001,horizon,(1-((1-$A11)*(1+expansion))^horizon)/(1-((1-$A11)*(1+expansion))))/(cost_per_visitor/(v2s*s2d*show_rate*G$5))</f>
        <v/>
      </c>
      <c r="H11" s="22">
        <f>GP_acct*IF(ABS(1-((1-$A11)*(1+expansion)))&lt;0.000000001,horizon,(1-((1-$A11)*(1+expansion))^horizon)/(1-((1-$A11)*(1+expansion))))/(cost_per_visitor/(v2s*s2d*show_rate*H$5))</f>
        <v/>
      </c>
      <c r="I11" s="22">
        <f>GP_acct*IF(ABS(1-((1-$A11)*(1+expansion)))&lt;0.000000001,horizon,(1-((1-$A11)*(1+expansion))^horizon)/(1-((1-$A11)*(1+expansion))))/(cost_per_visitor/(v2s*s2d*show_rate*I$5))</f>
        <v/>
      </c>
      <c r="J11" s="22">
        <f>GP_acct*IF(ABS(1-((1-$A11)*(1+expansion)))&lt;0.000000001,horizon,(1-((1-$A11)*(1+expansion))^horizon)/(1-((1-$A11)*(1+expansion))))/(cost_per_visitor/(v2s*s2d*show_rate*J$5))</f>
        <v/>
      </c>
      <c r="K11" s="22">
        <f>GP_acct*IF(ABS(1-((1-$A11)*(1+expansion)))&lt;0.000000001,horizon,(1-((1-$A11)*(1+expansion))^horizon)/(1-((1-$A11)*(1+expansion))))/(cost_per_visitor/(v2s*s2d*show_rate*K$5))</f>
        <v/>
      </c>
    </row>
    <row r="12">
      <c r="A12" s="29" t="n">
        <v>0.05</v>
      </c>
      <c r="B12" s="22">
        <f>GP_acct*IF(ABS(1-((1-$A12)*(1+expansion)))&lt;0.000000001,horizon,(1-((1-$A12)*(1+expansion))^horizon)/(1-((1-$A12)*(1+expansion))))/(cost_per_visitor/(v2s*s2d*show_rate*B$5))</f>
        <v/>
      </c>
      <c r="C12" s="22">
        <f>GP_acct*IF(ABS(1-((1-$A12)*(1+expansion)))&lt;0.000000001,horizon,(1-((1-$A12)*(1+expansion))^horizon)/(1-((1-$A12)*(1+expansion))))/(cost_per_visitor/(v2s*s2d*show_rate*C$5))</f>
        <v/>
      </c>
      <c r="D12" s="22">
        <f>GP_acct*IF(ABS(1-((1-$A12)*(1+expansion)))&lt;0.000000001,horizon,(1-((1-$A12)*(1+expansion))^horizon)/(1-((1-$A12)*(1+expansion))))/(cost_per_visitor/(v2s*s2d*show_rate*D$5))</f>
        <v/>
      </c>
      <c r="E12" s="22">
        <f>GP_acct*IF(ABS(1-((1-$A12)*(1+expansion)))&lt;0.000000001,horizon,(1-((1-$A12)*(1+expansion))^horizon)/(1-((1-$A12)*(1+expansion))))/(cost_per_visitor/(v2s*s2d*show_rate*E$5))</f>
        <v/>
      </c>
      <c r="F12" s="22">
        <f>GP_acct*IF(ABS(1-((1-$A12)*(1+expansion)))&lt;0.000000001,horizon,(1-((1-$A12)*(1+expansion))^horizon)/(1-((1-$A12)*(1+expansion))))/(cost_per_visitor/(v2s*s2d*show_rate*F$5))</f>
        <v/>
      </c>
      <c r="G12" s="22">
        <f>GP_acct*IF(ABS(1-((1-$A12)*(1+expansion)))&lt;0.000000001,horizon,(1-((1-$A12)*(1+expansion))^horizon)/(1-((1-$A12)*(1+expansion))))/(cost_per_visitor/(v2s*s2d*show_rate*G$5))</f>
        <v/>
      </c>
      <c r="H12" s="22">
        <f>GP_acct*IF(ABS(1-((1-$A12)*(1+expansion)))&lt;0.000000001,horizon,(1-((1-$A12)*(1+expansion))^horizon)/(1-((1-$A12)*(1+expansion))))/(cost_per_visitor/(v2s*s2d*show_rate*H$5))</f>
        <v/>
      </c>
      <c r="I12" s="22">
        <f>GP_acct*IF(ABS(1-((1-$A12)*(1+expansion)))&lt;0.000000001,horizon,(1-((1-$A12)*(1+expansion))^horizon)/(1-((1-$A12)*(1+expansion))))/(cost_per_visitor/(v2s*s2d*show_rate*I$5))</f>
        <v/>
      </c>
      <c r="J12" s="22">
        <f>GP_acct*IF(ABS(1-((1-$A12)*(1+expansion)))&lt;0.000000001,horizon,(1-((1-$A12)*(1+expansion))^horizon)/(1-((1-$A12)*(1+expansion))))/(cost_per_visitor/(v2s*s2d*show_rate*J$5))</f>
        <v/>
      </c>
      <c r="K12" s="22">
        <f>GP_acct*IF(ABS(1-((1-$A12)*(1+expansion)))&lt;0.000000001,horizon,(1-((1-$A12)*(1+expansion))^horizon)/(1-((1-$A12)*(1+expansion))))/(cost_per_visitor/(v2s*s2d*show_rate*K$5))</f>
        <v/>
      </c>
    </row>
    <row r="13">
      <c r="A13" s="29" t="n">
        <v>0.06</v>
      </c>
      <c r="B13" s="22">
        <f>GP_acct*IF(ABS(1-((1-$A13)*(1+expansion)))&lt;0.000000001,horizon,(1-((1-$A13)*(1+expansion))^horizon)/(1-((1-$A13)*(1+expansion))))/(cost_per_visitor/(v2s*s2d*show_rate*B$5))</f>
        <v/>
      </c>
      <c r="C13" s="22">
        <f>GP_acct*IF(ABS(1-((1-$A13)*(1+expansion)))&lt;0.000000001,horizon,(1-((1-$A13)*(1+expansion))^horizon)/(1-((1-$A13)*(1+expansion))))/(cost_per_visitor/(v2s*s2d*show_rate*C$5))</f>
        <v/>
      </c>
      <c r="D13" s="22">
        <f>GP_acct*IF(ABS(1-((1-$A13)*(1+expansion)))&lt;0.000000001,horizon,(1-((1-$A13)*(1+expansion))^horizon)/(1-((1-$A13)*(1+expansion))))/(cost_per_visitor/(v2s*s2d*show_rate*D$5))</f>
        <v/>
      </c>
      <c r="E13" s="22">
        <f>GP_acct*IF(ABS(1-((1-$A13)*(1+expansion)))&lt;0.000000001,horizon,(1-((1-$A13)*(1+expansion))^horizon)/(1-((1-$A13)*(1+expansion))))/(cost_per_visitor/(v2s*s2d*show_rate*E$5))</f>
        <v/>
      </c>
      <c r="F13" s="22">
        <f>GP_acct*IF(ABS(1-((1-$A13)*(1+expansion)))&lt;0.000000001,horizon,(1-((1-$A13)*(1+expansion))^horizon)/(1-((1-$A13)*(1+expansion))))/(cost_per_visitor/(v2s*s2d*show_rate*F$5))</f>
        <v/>
      </c>
      <c r="G13" s="22">
        <f>GP_acct*IF(ABS(1-((1-$A13)*(1+expansion)))&lt;0.000000001,horizon,(1-((1-$A13)*(1+expansion))^horizon)/(1-((1-$A13)*(1+expansion))))/(cost_per_visitor/(v2s*s2d*show_rate*G$5))</f>
        <v/>
      </c>
      <c r="H13" s="22">
        <f>GP_acct*IF(ABS(1-((1-$A13)*(1+expansion)))&lt;0.000000001,horizon,(1-((1-$A13)*(1+expansion))^horizon)/(1-((1-$A13)*(1+expansion))))/(cost_per_visitor/(v2s*s2d*show_rate*H$5))</f>
        <v/>
      </c>
      <c r="I13" s="22">
        <f>GP_acct*IF(ABS(1-((1-$A13)*(1+expansion)))&lt;0.000000001,horizon,(1-((1-$A13)*(1+expansion))^horizon)/(1-((1-$A13)*(1+expansion))))/(cost_per_visitor/(v2s*s2d*show_rate*I$5))</f>
        <v/>
      </c>
      <c r="J13" s="22">
        <f>GP_acct*IF(ABS(1-((1-$A13)*(1+expansion)))&lt;0.000000001,horizon,(1-((1-$A13)*(1+expansion))^horizon)/(1-((1-$A13)*(1+expansion))))/(cost_per_visitor/(v2s*s2d*show_rate*J$5))</f>
        <v/>
      </c>
      <c r="K13" s="22">
        <f>GP_acct*IF(ABS(1-((1-$A13)*(1+expansion)))&lt;0.000000001,horizon,(1-((1-$A13)*(1+expansion))^horizon)/(1-((1-$A13)*(1+expansion))))/(cost_per_visitor/(v2s*s2d*show_rate*K$5))</f>
        <v/>
      </c>
    </row>
    <row r="14">
      <c r="A14" s="29" t="n">
        <v>0.07000000000000001</v>
      </c>
      <c r="B14" s="22">
        <f>GP_acct*IF(ABS(1-((1-$A14)*(1+expansion)))&lt;0.000000001,horizon,(1-((1-$A14)*(1+expansion))^horizon)/(1-((1-$A14)*(1+expansion))))/(cost_per_visitor/(v2s*s2d*show_rate*B$5))</f>
        <v/>
      </c>
      <c r="C14" s="22">
        <f>GP_acct*IF(ABS(1-((1-$A14)*(1+expansion)))&lt;0.000000001,horizon,(1-((1-$A14)*(1+expansion))^horizon)/(1-((1-$A14)*(1+expansion))))/(cost_per_visitor/(v2s*s2d*show_rate*C$5))</f>
        <v/>
      </c>
      <c r="D14" s="22">
        <f>GP_acct*IF(ABS(1-((1-$A14)*(1+expansion)))&lt;0.000000001,horizon,(1-((1-$A14)*(1+expansion))^horizon)/(1-((1-$A14)*(1+expansion))))/(cost_per_visitor/(v2s*s2d*show_rate*D$5))</f>
        <v/>
      </c>
      <c r="E14" s="22">
        <f>GP_acct*IF(ABS(1-((1-$A14)*(1+expansion)))&lt;0.000000001,horizon,(1-((1-$A14)*(1+expansion))^horizon)/(1-((1-$A14)*(1+expansion))))/(cost_per_visitor/(v2s*s2d*show_rate*E$5))</f>
        <v/>
      </c>
      <c r="F14" s="22">
        <f>GP_acct*IF(ABS(1-((1-$A14)*(1+expansion)))&lt;0.000000001,horizon,(1-((1-$A14)*(1+expansion))^horizon)/(1-((1-$A14)*(1+expansion))))/(cost_per_visitor/(v2s*s2d*show_rate*F$5))</f>
        <v/>
      </c>
      <c r="G14" s="22">
        <f>GP_acct*IF(ABS(1-((1-$A14)*(1+expansion)))&lt;0.000000001,horizon,(1-((1-$A14)*(1+expansion))^horizon)/(1-((1-$A14)*(1+expansion))))/(cost_per_visitor/(v2s*s2d*show_rate*G$5))</f>
        <v/>
      </c>
      <c r="H14" s="22">
        <f>GP_acct*IF(ABS(1-((1-$A14)*(1+expansion)))&lt;0.000000001,horizon,(1-((1-$A14)*(1+expansion))^horizon)/(1-((1-$A14)*(1+expansion))))/(cost_per_visitor/(v2s*s2d*show_rate*H$5))</f>
        <v/>
      </c>
      <c r="I14" s="22">
        <f>GP_acct*IF(ABS(1-((1-$A14)*(1+expansion)))&lt;0.000000001,horizon,(1-((1-$A14)*(1+expansion))^horizon)/(1-((1-$A14)*(1+expansion))))/(cost_per_visitor/(v2s*s2d*show_rate*I$5))</f>
        <v/>
      </c>
      <c r="J14" s="22">
        <f>GP_acct*IF(ABS(1-((1-$A14)*(1+expansion)))&lt;0.000000001,horizon,(1-((1-$A14)*(1+expansion))^horizon)/(1-((1-$A14)*(1+expansion))))/(cost_per_visitor/(v2s*s2d*show_rate*J$5))</f>
        <v/>
      </c>
      <c r="K14" s="22">
        <f>GP_acct*IF(ABS(1-((1-$A14)*(1+expansion)))&lt;0.000000001,horizon,(1-((1-$A14)*(1+expansion))^horizon)/(1-((1-$A14)*(1+expansion))))/(cost_per_visitor/(v2s*s2d*show_rate*K$5))</f>
        <v/>
      </c>
    </row>
    <row r="16">
      <c r="A16" t="inlineStr">
        <is>
          <t>Current scenario: churn</t>
        </is>
      </c>
      <c r="C16" s="14">
        <f>churn</f>
        <v/>
      </c>
      <c r="D16" t="inlineStr">
        <is>
          <t>held-to-paid</t>
        </is>
      </c>
      <c r="F16" s="14">
        <f>held2paid</f>
        <v/>
      </c>
      <c r="G16" t="inlineStr">
        <is>
          <t>LTV:CAC</t>
        </is>
      </c>
      <c r="H16" s="27">
        <f>LTV_CAC</f>
        <v/>
      </c>
    </row>
    <row r="17">
      <c r="A17" t="inlineStr">
        <is>
          <t>Colour: red below 1x, yellow at 3x, green at 5x and above.</t>
        </is>
      </c>
    </row>
    <row r="19">
      <c r="A19" s="2">
        <f>"2. One lever at a time: each improved by "&amp;TEXT(lever_step,"0%")&amp;" (relative). Change the step in Inputs."</f>
        <v/>
      </c>
    </row>
    <row r="20">
      <c r="A20" s="4" t="inlineStr">
        <is>
          <t>Lever</t>
        </is>
      </c>
      <c r="B20" s="4" t="inlineStr">
        <is>
          <t>Price mult.</t>
        </is>
      </c>
      <c r="C20" s="4" t="inlineStr">
        <is>
          <t>Churn mult.</t>
        </is>
      </c>
      <c r="D20" s="4" t="inlineStr">
        <is>
          <t>Expansion mult.</t>
        </is>
      </c>
      <c r="E20" s="4" t="inlineStr">
        <is>
          <t>Visitor-to-sign-up mult.</t>
        </is>
      </c>
      <c r="F20" s="4" t="inlineStr">
        <is>
          <t>Held-to-paid mult.</t>
        </is>
      </c>
      <c r="G20" s="4" t="inlineStr">
        <is>
          <t>GP/account/month</t>
        </is>
      </c>
      <c r="H20" s="4" t="inlineStr">
        <is>
          <t>Retention factor</t>
        </is>
      </c>
      <c r="I20" s="4" t="inlineStr">
        <is>
          <t>LTV</t>
        </is>
      </c>
      <c r="J20" s="4" t="inlineStr">
        <is>
          <t>CAC</t>
        </is>
      </c>
      <c r="K20" s="4" t="inlineStr">
        <is>
          <t>LTV:CAC</t>
        </is>
      </c>
      <c r="L20" s="4" t="inlineStr">
        <is>
          <t>Change vs base</t>
        </is>
      </c>
      <c r="M20" s="4" t="inlineStr">
        <is>
          <t>Rank</t>
        </is>
      </c>
      <c r="N20" s="4" t="inlineStr">
        <is>
          <t>CAC payback (months)</t>
        </is>
      </c>
    </row>
    <row r="21">
      <c r="A21" t="inlineStr">
        <is>
          <t>Base (no change)</t>
        </is>
      </c>
      <c r="B21" s="27">
        <f>1</f>
        <v/>
      </c>
      <c r="C21" s="27">
        <f>1</f>
        <v/>
      </c>
      <c r="D21" s="27">
        <f>1</f>
        <v/>
      </c>
      <c r="E21" s="27">
        <f>1</f>
        <v/>
      </c>
      <c r="F21" s="27">
        <f>1</f>
        <v/>
      </c>
      <c r="G21" s="19">
        <f>ARPA*B21*gm</f>
        <v/>
      </c>
      <c r="H21" s="26">
        <f>(1-churn*C21)*(1+expansion*D21)</f>
        <v/>
      </c>
      <c r="I21" s="19">
        <f>G21*IF(ABS(1-H21)&lt;0.000000001,horizon,(1-H21^horizon)/(1-H21))</f>
        <v/>
      </c>
      <c r="J21" s="19">
        <f>(cpv+v2s*E21*s2d*show_rate*cost_per_demo)/(v2s*E21*s2d*show_rate*held2paid*F21)</f>
        <v/>
      </c>
      <c r="K21" s="27">
        <f>I21/J21</f>
        <v/>
      </c>
      <c r="L21" s="30">
        <f>ROUND(K21/K$21-1,6)</f>
        <v/>
      </c>
      <c r="N21" s="22">
        <f>J21/G21</f>
        <v/>
      </c>
    </row>
    <row r="22">
      <c r="A22" t="inlineStr">
        <is>
          <t>Price (PEPM) up</t>
        </is>
      </c>
      <c r="B22" s="27">
        <f>1+lever_step</f>
        <v/>
      </c>
      <c r="C22" s="27">
        <f>1</f>
        <v/>
      </c>
      <c r="D22" s="27">
        <f>1</f>
        <v/>
      </c>
      <c r="E22" s="27">
        <f>1</f>
        <v/>
      </c>
      <c r="F22" s="27">
        <f>1</f>
        <v/>
      </c>
      <c r="G22" s="19">
        <f>ARPA*B22*gm</f>
        <v/>
      </c>
      <c r="H22" s="26">
        <f>(1-churn*C22)*(1+expansion*D22)</f>
        <v/>
      </c>
      <c r="I22" s="19">
        <f>G22*IF(ABS(1-H22)&lt;0.000000001,horizon,(1-H22^horizon)/(1-H22))</f>
        <v/>
      </c>
      <c r="J22" s="19">
        <f>(cpv+v2s*E22*s2d*show_rate*cost_per_demo)/(v2s*E22*s2d*show_rate*held2paid*F22)</f>
        <v/>
      </c>
      <c r="K22" s="27">
        <f>I22/J22</f>
        <v/>
      </c>
      <c r="L22" s="30">
        <f>ROUND(K22/K$21-1,6)</f>
        <v/>
      </c>
      <c r="M22">
        <f>RANK(L22,$L$22:$L$26)</f>
        <v/>
      </c>
      <c r="N22" s="22">
        <f>J22/G22</f>
        <v/>
      </c>
    </row>
    <row r="23">
      <c r="A23" t="inlineStr">
        <is>
          <t>Monthly churn down</t>
        </is>
      </c>
      <c r="B23" s="27">
        <f>1</f>
        <v/>
      </c>
      <c r="C23" s="27">
        <f>1-lever_step</f>
        <v/>
      </c>
      <c r="D23" s="27">
        <f>1</f>
        <v/>
      </c>
      <c r="E23" s="27">
        <f>1</f>
        <v/>
      </c>
      <c r="F23" s="27">
        <f>1</f>
        <v/>
      </c>
      <c r="G23" s="19">
        <f>ARPA*B23*gm</f>
        <v/>
      </c>
      <c r="H23" s="26">
        <f>(1-churn*C23)*(1+expansion*D23)</f>
        <v/>
      </c>
      <c r="I23" s="19">
        <f>G23*IF(ABS(1-H23)&lt;0.000000001,horizon,(1-H23^horizon)/(1-H23))</f>
        <v/>
      </c>
      <c r="J23" s="19">
        <f>(cpv+v2s*E23*s2d*show_rate*cost_per_demo)/(v2s*E23*s2d*show_rate*held2paid*F23)</f>
        <v/>
      </c>
      <c r="K23" s="27">
        <f>I23/J23</f>
        <v/>
      </c>
      <c r="L23" s="30">
        <f>ROUND(K23/K$21-1,6)</f>
        <v/>
      </c>
      <c r="M23">
        <f>RANK(L23,$L$22:$L$26)</f>
        <v/>
      </c>
      <c r="N23" s="22">
        <f>J23/G23</f>
        <v/>
      </c>
    </row>
    <row r="24">
      <c r="A24" t="inlineStr">
        <is>
          <t>Seat expansion up</t>
        </is>
      </c>
      <c r="B24" s="27">
        <f>1</f>
        <v/>
      </c>
      <c r="C24" s="27">
        <f>1</f>
        <v/>
      </c>
      <c r="D24" s="27">
        <f>1+lever_step</f>
        <v/>
      </c>
      <c r="E24" s="27">
        <f>1</f>
        <v/>
      </c>
      <c r="F24" s="27">
        <f>1</f>
        <v/>
      </c>
      <c r="G24" s="19">
        <f>ARPA*B24*gm</f>
        <v/>
      </c>
      <c r="H24" s="26">
        <f>(1-churn*C24)*(1+expansion*D24)</f>
        <v/>
      </c>
      <c r="I24" s="19">
        <f>G24*IF(ABS(1-H24)&lt;0.000000001,horizon,(1-H24^horizon)/(1-H24))</f>
        <v/>
      </c>
      <c r="J24" s="19">
        <f>(cpv+v2s*E24*s2d*show_rate*cost_per_demo)/(v2s*E24*s2d*show_rate*held2paid*F24)</f>
        <v/>
      </c>
      <c r="K24" s="27">
        <f>I24/J24</f>
        <v/>
      </c>
      <c r="L24" s="30">
        <f>ROUND(K24/K$21-1,6)</f>
        <v/>
      </c>
      <c r="M24">
        <f>RANK(L24,$L$22:$L$26)</f>
        <v/>
      </c>
      <c r="N24" s="22">
        <f>J24/G24</f>
        <v/>
      </c>
    </row>
    <row r="25">
      <c r="A25" t="inlineStr">
        <is>
          <t>Visitor-to-sign-up up (top of funnel)</t>
        </is>
      </c>
      <c r="B25" s="27">
        <f>1</f>
        <v/>
      </c>
      <c r="C25" s="27">
        <f>1</f>
        <v/>
      </c>
      <c r="D25" s="27">
        <f>1</f>
        <v/>
      </c>
      <c r="E25" s="27">
        <f>1+lever_step</f>
        <v/>
      </c>
      <c r="F25" s="27">
        <f>1</f>
        <v/>
      </c>
      <c r="G25" s="19">
        <f>ARPA*B25*gm</f>
        <v/>
      </c>
      <c r="H25" s="26">
        <f>(1-churn*C25)*(1+expansion*D25)</f>
        <v/>
      </c>
      <c r="I25" s="19">
        <f>G25*IF(ABS(1-H25)&lt;0.000000001,horizon,(1-H25^horizon)/(1-H25))</f>
        <v/>
      </c>
      <c r="J25" s="19">
        <f>(cpv+v2s*E25*s2d*show_rate*cost_per_demo)/(v2s*E25*s2d*show_rate*held2paid*F25)</f>
        <v/>
      </c>
      <c r="K25" s="27">
        <f>I25/J25</f>
        <v/>
      </c>
      <c r="L25" s="30">
        <f>ROUND(K25/K$21-1,6)</f>
        <v/>
      </c>
      <c r="M25">
        <f>RANK(L25,$L$22:$L$26)</f>
        <v/>
      </c>
      <c r="N25" s="22">
        <f>J25/G25</f>
        <v/>
      </c>
    </row>
    <row r="26">
      <c r="A26" t="inlineStr">
        <is>
          <t>Demo held-to-paid up (bottom of funnel)</t>
        </is>
      </c>
      <c r="B26" s="27">
        <f>1</f>
        <v/>
      </c>
      <c r="C26" s="27">
        <f>1</f>
        <v/>
      </c>
      <c r="D26" s="27">
        <f>1</f>
        <v/>
      </c>
      <c r="E26" s="27">
        <f>1</f>
        <v/>
      </c>
      <c r="F26" s="27">
        <f>1+lever_step</f>
        <v/>
      </c>
      <c r="G26" s="19">
        <f>ARPA*B26*gm</f>
        <v/>
      </c>
      <c r="H26" s="26">
        <f>(1-churn*C26)*(1+expansion*D26)</f>
        <v/>
      </c>
      <c r="I26" s="19">
        <f>G26*IF(ABS(1-H26)&lt;0.000000001,horizon,(1-H26^horizon)/(1-H26))</f>
        <v/>
      </c>
      <c r="J26" s="19">
        <f>(cpv+v2s*E26*s2d*show_rate*cost_per_demo)/(v2s*E26*s2d*show_rate*held2paid*F26)</f>
        <v/>
      </c>
      <c r="K26" s="27">
        <f>I26/J26</f>
        <v/>
      </c>
      <c r="L26" s="30">
        <f>ROUND(K26/K$21-1,6)</f>
        <v/>
      </c>
      <c r="M26">
        <f>RANK(L26,$L$22:$L$26)</f>
        <v/>
      </c>
      <c r="N26" s="22">
        <f>J26/G26</f>
        <v/>
      </c>
    </row>
    <row r="28">
      <c r="A28" t="inlineStr">
        <is>
          <t>Price rises assume no effect on conversion or churn. A price rise of the lever step is neutral on LTV:CAC if held-to-paid conversion falls by:</t>
        </is>
      </c>
      <c r="L28" s="14">
        <f>1-1/(1+lever_step)</f>
        <v/>
      </c>
    </row>
    <row r="29">
      <c r="A29" t="inlineStr">
        <is>
          <t>Churn does not change CAC payback; only price, gross margin and funnel costs do.</t>
        </is>
      </c>
    </row>
  </sheetData>
  <conditionalFormatting sqref="B6:K14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A22:N26">
    <cfRule type="expression" priority="2" dxfId="0">
      <formula>$M22=1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2026-09-15T21:00:06Z</dcterms:created>
  <dcterms:modified xsi:type="dcterms:W3CDTF">2026-09-15T21:00:06Z</dcterms:modified>
</cp:coreProperties>
</file>